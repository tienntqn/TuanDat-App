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tien.nt\Desktop\Form Tram\"/>
    </mc:Choice>
  </mc:AlternateContent>
  <xr:revisionPtr revIDLastSave="0" documentId="8_{61CB8402-F4FC-4FA7-A96A-C84D67FF336E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Ouput" sheetId="1" r:id="rId1"/>
  </sheets>
  <definedNames>
    <definedName name="_xlnm._FilterDatabase" localSheetId="0" hidden="1">Ouput!$A$2:$P$197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144" i="1" l="1"/>
  <c r="P226" i="1" s="1"/>
  <c r="O144" i="1"/>
  <c r="O226" i="1" s="1"/>
  <c r="N144" i="1"/>
  <c r="N226" i="1" s="1"/>
  <c r="M144" i="1"/>
  <c r="M226" i="1" s="1"/>
  <c r="L144" i="1"/>
  <c r="L226" i="1" s="1"/>
  <c r="K144" i="1"/>
  <c r="K226" i="1" s="1"/>
  <c r="J144" i="1"/>
  <c r="J226" i="1" s="1"/>
  <c r="I144" i="1"/>
  <c r="I226" i="1" s="1"/>
  <c r="P138" i="1"/>
  <c r="P225" i="1" s="1"/>
  <c r="O138" i="1"/>
  <c r="O225" i="1" s="1"/>
  <c r="N138" i="1"/>
  <c r="N225" i="1" s="1"/>
  <c r="M138" i="1"/>
  <c r="M225" i="1" s="1"/>
  <c r="L138" i="1"/>
  <c r="L225" i="1" s="1"/>
  <c r="K138" i="1"/>
  <c r="K225" i="1" s="1"/>
  <c r="J138" i="1"/>
  <c r="J225" i="1" s="1"/>
  <c r="I138" i="1"/>
  <c r="I225" i="1" s="1"/>
  <c r="P132" i="1"/>
  <c r="P224" i="1" s="1"/>
  <c r="O132" i="1"/>
  <c r="O224" i="1" s="1"/>
  <c r="N132" i="1"/>
  <c r="N224" i="1" s="1"/>
  <c r="M132" i="1"/>
  <c r="M224" i="1" s="1"/>
  <c r="L132" i="1"/>
  <c r="L224" i="1" s="1"/>
  <c r="K132" i="1"/>
  <c r="K224" i="1" s="1"/>
  <c r="J132" i="1"/>
  <c r="J224" i="1" s="1"/>
  <c r="I132" i="1"/>
  <c r="I224" i="1" s="1"/>
  <c r="P126" i="1"/>
  <c r="P223" i="1" s="1"/>
  <c r="O126" i="1"/>
  <c r="O223" i="1" s="1"/>
  <c r="N126" i="1"/>
  <c r="N223" i="1" s="1"/>
  <c r="M126" i="1"/>
  <c r="M223" i="1" s="1"/>
  <c r="L126" i="1"/>
  <c r="L223" i="1" s="1"/>
  <c r="K126" i="1"/>
  <c r="K223" i="1" s="1"/>
  <c r="J126" i="1"/>
  <c r="J223" i="1" s="1"/>
  <c r="I126" i="1"/>
  <c r="I223" i="1" s="1"/>
  <c r="P120" i="1"/>
  <c r="P222" i="1" s="1"/>
  <c r="O120" i="1"/>
  <c r="O222" i="1" s="1"/>
  <c r="N120" i="1"/>
  <c r="N222" i="1" s="1"/>
  <c r="M120" i="1"/>
  <c r="M222" i="1" s="1"/>
  <c r="L120" i="1"/>
  <c r="L222" i="1" s="1"/>
  <c r="K120" i="1"/>
  <c r="K222" i="1" s="1"/>
  <c r="J120" i="1"/>
  <c r="J222" i="1" s="1"/>
  <c r="I120" i="1"/>
  <c r="I222" i="1" s="1"/>
  <c r="P114" i="1"/>
  <c r="P221" i="1" s="1"/>
  <c r="O114" i="1"/>
  <c r="O221" i="1" s="1"/>
  <c r="O227" i="1" s="1"/>
  <c r="N114" i="1"/>
  <c r="N221" i="1" s="1"/>
  <c r="N227" i="1" s="1"/>
  <c r="M114" i="1"/>
  <c r="M221" i="1" s="1"/>
  <c r="M227" i="1" s="1"/>
  <c r="L114" i="1"/>
  <c r="L221" i="1" s="1"/>
  <c r="L227" i="1" s="1"/>
  <c r="K114" i="1"/>
  <c r="K221" i="1" s="1"/>
  <c r="J114" i="1"/>
  <c r="J221" i="1" s="1"/>
  <c r="J227" i="1" s="1"/>
  <c r="I114" i="1"/>
  <c r="I221" i="1" s="1"/>
  <c r="P169" i="1"/>
  <c r="P231" i="1" s="1"/>
  <c r="O169" i="1"/>
  <c r="O231" i="1" s="1"/>
  <c r="N169" i="1"/>
  <c r="N231" i="1" s="1"/>
  <c r="M169" i="1"/>
  <c r="M231" i="1" s="1"/>
  <c r="L169" i="1"/>
  <c r="L231" i="1" s="1"/>
  <c r="K169" i="1"/>
  <c r="K231" i="1" s="1"/>
  <c r="J169" i="1"/>
  <c r="J231" i="1" s="1"/>
  <c r="I169" i="1"/>
  <c r="I231" i="1" s="1"/>
  <c r="P163" i="1"/>
  <c r="P230" i="1" s="1"/>
  <c r="O163" i="1"/>
  <c r="O230" i="1" s="1"/>
  <c r="N163" i="1"/>
  <c r="N230" i="1" s="1"/>
  <c r="M163" i="1"/>
  <c r="M230" i="1" s="1"/>
  <c r="L163" i="1"/>
  <c r="L230" i="1" s="1"/>
  <c r="K163" i="1"/>
  <c r="K230" i="1" s="1"/>
  <c r="J163" i="1"/>
  <c r="J230" i="1" s="1"/>
  <c r="I163" i="1"/>
  <c r="I230" i="1" s="1"/>
  <c r="P157" i="1"/>
  <c r="P229" i="1" s="1"/>
  <c r="O157" i="1"/>
  <c r="O229" i="1" s="1"/>
  <c r="N157" i="1"/>
  <c r="N229" i="1" s="1"/>
  <c r="M157" i="1"/>
  <c r="M229" i="1" s="1"/>
  <c r="L157" i="1"/>
  <c r="L229" i="1" s="1"/>
  <c r="K157" i="1"/>
  <c r="K229" i="1" s="1"/>
  <c r="J157" i="1"/>
  <c r="J229" i="1" s="1"/>
  <c r="I157" i="1"/>
  <c r="I229" i="1" s="1"/>
  <c r="P151" i="1"/>
  <c r="O151" i="1"/>
  <c r="N151" i="1"/>
  <c r="M151" i="1"/>
  <c r="L151" i="1"/>
  <c r="K151" i="1"/>
  <c r="J151" i="1"/>
  <c r="I151" i="1"/>
  <c r="P195" i="1"/>
  <c r="P240" i="1" s="1"/>
  <c r="O195" i="1"/>
  <c r="O240" i="1" s="1"/>
  <c r="N195" i="1"/>
  <c r="N240" i="1" s="1"/>
  <c r="M195" i="1"/>
  <c r="M240" i="1" s="1"/>
  <c r="L195" i="1"/>
  <c r="L240" i="1" s="1"/>
  <c r="K195" i="1"/>
  <c r="K240" i="1" s="1"/>
  <c r="J195" i="1"/>
  <c r="J240" i="1" s="1"/>
  <c r="I195" i="1"/>
  <c r="I240" i="1" s="1"/>
  <c r="P189" i="1"/>
  <c r="P238" i="1" s="1"/>
  <c r="O189" i="1"/>
  <c r="O238" i="1" s="1"/>
  <c r="N189" i="1"/>
  <c r="N238" i="1" s="1"/>
  <c r="M189" i="1"/>
  <c r="M238" i="1" s="1"/>
  <c r="L189" i="1"/>
  <c r="L238" i="1" s="1"/>
  <c r="K189" i="1"/>
  <c r="K238" i="1" s="1"/>
  <c r="J189" i="1"/>
  <c r="J238" i="1" s="1"/>
  <c r="I189" i="1"/>
  <c r="I238" i="1" s="1"/>
  <c r="P183" i="1"/>
  <c r="O183" i="1"/>
  <c r="N183" i="1"/>
  <c r="M183" i="1"/>
  <c r="L183" i="1"/>
  <c r="K183" i="1"/>
  <c r="K235" i="1" s="1"/>
  <c r="K241" i="1" s="1"/>
  <c r="J183" i="1"/>
  <c r="I183" i="1"/>
  <c r="P176" i="1"/>
  <c r="O176" i="1"/>
  <c r="N176" i="1"/>
  <c r="M176" i="1"/>
  <c r="L176" i="1"/>
  <c r="K176" i="1"/>
  <c r="J176" i="1"/>
  <c r="I176" i="1"/>
  <c r="P107" i="1"/>
  <c r="P219" i="1" s="1"/>
  <c r="O107" i="1"/>
  <c r="O219" i="1" s="1"/>
  <c r="N107" i="1"/>
  <c r="N219" i="1" s="1"/>
  <c r="M107" i="1"/>
  <c r="M219" i="1" s="1"/>
  <c r="L107" i="1"/>
  <c r="L219" i="1" s="1"/>
  <c r="K107" i="1"/>
  <c r="K219" i="1" s="1"/>
  <c r="J107" i="1"/>
  <c r="J219" i="1" s="1"/>
  <c r="I107" i="1"/>
  <c r="I219" i="1" s="1"/>
  <c r="P101" i="1"/>
  <c r="P218" i="1" s="1"/>
  <c r="O101" i="1"/>
  <c r="O218" i="1" s="1"/>
  <c r="N101" i="1"/>
  <c r="N218" i="1" s="1"/>
  <c r="M101" i="1"/>
  <c r="M218" i="1" s="1"/>
  <c r="L101" i="1"/>
  <c r="L218" i="1" s="1"/>
  <c r="K101" i="1"/>
  <c r="K218" i="1" s="1"/>
  <c r="J101" i="1"/>
  <c r="J218" i="1" s="1"/>
  <c r="I101" i="1"/>
  <c r="I218" i="1" s="1"/>
  <c r="P95" i="1"/>
  <c r="P217" i="1" s="1"/>
  <c r="O95" i="1"/>
  <c r="O217" i="1" s="1"/>
  <c r="N95" i="1"/>
  <c r="N217" i="1" s="1"/>
  <c r="M95" i="1"/>
  <c r="M217" i="1" s="1"/>
  <c r="L95" i="1"/>
  <c r="L217" i="1" s="1"/>
  <c r="K95" i="1"/>
  <c r="K217" i="1" s="1"/>
  <c r="J95" i="1"/>
  <c r="J217" i="1" s="1"/>
  <c r="I95" i="1"/>
  <c r="I217" i="1" s="1"/>
  <c r="P89" i="1"/>
  <c r="P216" i="1" s="1"/>
  <c r="O89" i="1"/>
  <c r="O216" i="1" s="1"/>
  <c r="N89" i="1"/>
  <c r="N216" i="1" s="1"/>
  <c r="M89" i="1"/>
  <c r="M216" i="1" s="1"/>
  <c r="L89" i="1"/>
  <c r="L216" i="1" s="1"/>
  <c r="K89" i="1"/>
  <c r="K216" i="1" s="1"/>
  <c r="J89" i="1"/>
  <c r="J216" i="1" s="1"/>
  <c r="I89" i="1"/>
  <c r="I216" i="1" s="1"/>
  <c r="P83" i="1"/>
  <c r="O83" i="1"/>
  <c r="N83" i="1"/>
  <c r="M83" i="1"/>
  <c r="L83" i="1"/>
  <c r="K83" i="1"/>
  <c r="J83" i="1"/>
  <c r="I83" i="1"/>
  <c r="P38" i="1"/>
  <c r="O38" i="1"/>
  <c r="N38" i="1"/>
  <c r="M38" i="1"/>
  <c r="M205" i="1" s="1"/>
  <c r="L38" i="1"/>
  <c r="K38" i="1"/>
  <c r="J38" i="1"/>
  <c r="I38" i="1"/>
  <c r="P32" i="1"/>
  <c r="O32" i="1"/>
  <c r="N32" i="1"/>
  <c r="M32" i="1"/>
  <c r="L32" i="1"/>
  <c r="K32" i="1"/>
  <c r="J32" i="1"/>
  <c r="I32" i="1"/>
  <c r="P26" i="1"/>
  <c r="O26" i="1"/>
  <c r="N26" i="1"/>
  <c r="M26" i="1"/>
  <c r="L26" i="1"/>
  <c r="K26" i="1"/>
  <c r="J26" i="1"/>
  <c r="I26" i="1"/>
  <c r="P20" i="1"/>
  <c r="O20" i="1"/>
  <c r="N20" i="1"/>
  <c r="M20" i="1"/>
  <c r="L20" i="1"/>
  <c r="K20" i="1"/>
  <c r="J20" i="1"/>
  <c r="I20" i="1"/>
  <c r="P14" i="1"/>
  <c r="O14" i="1"/>
  <c r="N14" i="1"/>
  <c r="M14" i="1"/>
  <c r="L14" i="1"/>
  <c r="K14" i="1"/>
  <c r="J14" i="1"/>
  <c r="I14" i="1"/>
  <c r="P8" i="1"/>
  <c r="O8" i="1"/>
  <c r="N8" i="1"/>
  <c r="M8" i="1"/>
  <c r="L8" i="1"/>
  <c r="K8" i="1"/>
  <c r="J8" i="1"/>
  <c r="J200" i="1" s="1"/>
  <c r="I8" i="1"/>
  <c r="I200" i="1" s="1"/>
  <c r="P69" i="1"/>
  <c r="P211" i="1" s="1"/>
  <c r="O69" i="1"/>
  <c r="O211" i="1" s="1"/>
  <c r="N69" i="1"/>
  <c r="N211" i="1" s="1"/>
  <c r="M69" i="1"/>
  <c r="M211" i="1" s="1"/>
  <c r="L69" i="1"/>
  <c r="L211" i="1" s="1"/>
  <c r="K69" i="1"/>
  <c r="K211" i="1" s="1"/>
  <c r="J69" i="1"/>
  <c r="J211" i="1" s="1"/>
  <c r="I69" i="1"/>
  <c r="I211" i="1" s="1"/>
  <c r="I39" i="1" l="1"/>
  <c r="K227" i="1"/>
  <c r="I196" i="1"/>
  <c r="I235" i="1"/>
  <c r="I241" i="1" s="1"/>
  <c r="J196" i="1"/>
  <c r="J235" i="1"/>
  <c r="J241" i="1" s="1"/>
  <c r="L196" i="1"/>
  <c r="L235" i="1"/>
  <c r="L241" i="1" s="1"/>
  <c r="M196" i="1"/>
  <c r="M235" i="1"/>
  <c r="M241" i="1" s="1"/>
  <c r="N196" i="1"/>
  <c r="N235" i="1"/>
  <c r="N241" i="1" s="1"/>
  <c r="O196" i="1"/>
  <c r="O235" i="1"/>
  <c r="O241" i="1" s="1"/>
  <c r="P196" i="1"/>
  <c r="P235" i="1"/>
  <c r="P241" i="1" s="1"/>
  <c r="I177" i="1"/>
  <c r="I232" i="1"/>
  <c r="J177" i="1"/>
  <c r="J232" i="1"/>
  <c r="J170" i="1"/>
  <c r="J228" i="1"/>
  <c r="K177" i="1"/>
  <c r="K232" i="1"/>
  <c r="K170" i="1"/>
  <c r="K228" i="1"/>
  <c r="L177" i="1"/>
  <c r="L232" i="1"/>
  <c r="L170" i="1"/>
  <c r="L228" i="1"/>
  <c r="I170" i="1"/>
  <c r="I228" i="1"/>
  <c r="M177" i="1"/>
  <c r="M232" i="1"/>
  <c r="M170" i="1"/>
  <c r="M228" i="1"/>
  <c r="N177" i="1"/>
  <c r="N232" i="1"/>
  <c r="N170" i="1"/>
  <c r="N228" i="1"/>
  <c r="N234" i="1" s="1"/>
  <c r="O177" i="1"/>
  <c r="O232" i="1"/>
  <c r="O170" i="1"/>
  <c r="O228" i="1"/>
  <c r="P177" i="1"/>
  <c r="P232" i="1"/>
  <c r="P170" i="1"/>
  <c r="P228" i="1"/>
  <c r="P234" i="1" s="1"/>
  <c r="I227" i="1"/>
  <c r="P227" i="1"/>
  <c r="J108" i="1"/>
  <c r="J214" i="1"/>
  <c r="J220" i="1" s="1"/>
  <c r="K108" i="1"/>
  <c r="K214" i="1"/>
  <c r="K220" i="1" s="1"/>
  <c r="L108" i="1"/>
  <c r="L214" i="1"/>
  <c r="L220" i="1" s="1"/>
  <c r="M108" i="1"/>
  <c r="M214" i="1"/>
  <c r="M220" i="1" s="1"/>
  <c r="I108" i="1"/>
  <c r="I214" i="1"/>
  <c r="I220" i="1" s="1"/>
  <c r="N108" i="1"/>
  <c r="N214" i="1"/>
  <c r="N220" i="1" s="1"/>
  <c r="O108" i="1"/>
  <c r="O214" i="1"/>
  <c r="O220" i="1" s="1"/>
  <c r="P108" i="1"/>
  <c r="P214" i="1"/>
  <c r="P220" i="1" s="1"/>
  <c r="J201" i="1"/>
  <c r="J202" i="1"/>
  <c r="J203" i="1"/>
  <c r="J204" i="1"/>
  <c r="J205" i="1"/>
  <c r="I201" i="1"/>
  <c r="I203" i="1"/>
  <c r="K202" i="1"/>
  <c r="K204" i="1"/>
  <c r="L200" i="1"/>
  <c r="L203" i="1"/>
  <c r="M200" i="1"/>
  <c r="M201" i="1"/>
  <c r="M202" i="1"/>
  <c r="M203" i="1"/>
  <c r="M204" i="1"/>
  <c r="I205" i="1"/>
  <c r="K200" i="1"/>
  <c r="K203" i="1"/>
  <c r="N200" i="1"/>
  <c r="N201" i="1"/>
  <c r="N202" i="1"/>
  <c r="N203" i="1"/>
  <c r="N204" i="1"/>
  <c r="N205" i="1"/>
  <c r="I204" i="1"/>
  <c r="K196" i="1"/>
  <c r="L202" i="1"/>
  <c r="L205" i="1"/>
  <c r="O200" i="1"/>
  <c r="O201" i="1"/>
  <c r="O202" i="1"/>
  <c r="O203" i="1"/>
  <c r="O204" i="1"/>
  <c r="O205" i="1"/>
  <c r="I202" i="1"/>
  <c r="K201" i="1"/>
  <c r="K205" i="1"/>
  <c r="L201" i="1"/>
  <c r="L204" i="1"/>
  <c r="P200" i="1"/>
  <c r="P201" i="1"/>
  <c r="P202" i="1"/>
  <c r="P203" i="1"/>
  <c r="P204" i="1"/>
  <c r="P205" i="1"/>
  <c r="M39" i="1"/>
  <c r="N39" i="1"/>
  <c r="P39" i="1"/>
  <c r="K145" i="1"/>
  <c r="J39" i="1"/>
  <c r="O39" i="1"/>
  <c r="K39" i="1"/>
  <c r="L39" i="1"/>
  <c r="I145" i="1"/>
  <c r="J145" i="1"/>
  <c r="L145" i="1"/>
  <c r="M145" i="1"/>
  <c r="N145" i="1"/>
  <c r="O145" i="1"/>
  <c r="P145" i="1"/>
  <c r="P75" i="1"/>
  <c r="P212" i="1" s="1"/>
  <c r="O75" i="1"/>
  <c r="O212" i="1" s="1"/>
  <c r="N75" i="1"/>
  <c r="N212" i="1" s="1"/>
  <c r="M75" i="1"/>
  <c r="M212" i="1" s="1"/>
  <c r="L75" i="1"/>
  <c r="L212" i="1" s="1"/>
  <c r="K75" i="1"/>
  <c r="K212" i="1" s="1"/>
  <c r="J75" i="1"/>
  <c r="J212" i="1" s="1"/>
  <c r="I75" i="1"/>
  <c r="I212" i="1" s="1"/>
  <c r="P63" i="1"/>
  <c r="P210" i="1" s="1"/>
  <c r="O63" i="1"/>
  <c r="O210" i="1" s="1"/>
  <c r="N63" i="1"/>
  <c r="N210" i="1" s="1"/>
  <c r="M63" i="1"/>
  <c r="M210" i="1" s="1"/>
  <c r="L63" i="1"/>
  <c r="L210" i="1" s="1"/>
  <c r="K63" i="1"/>
  <c r="K210" i="1" s="1"/>
  <c r="J63" i="1"/>
  <c r="J210" i="1" s="1"/>
  <c r="I63" i="1"/>
  <c r="I210" i="1" s="1"/>
  <c r="P57" i="1"/>
  <c r="P209" i="1" s="1"/>
  <c r="O57" i="1"/>
  <c r="O209" i="1" s="1"/>
  <c r="N57" i="1"/>
  <c r="N209" i="1" s="1"/>
  <c r="M57" i="1"/>
  <c r="M209" i="1" s="1"/>
  <c r="L57" i="1"/>
  <c r="L209" i="1" s="1"/>
  <c r="K57" i="1"/>
  <c r="K209" i="1" s="1"/>
  <c r="J57" i="1"/>
  <c r="J209" i="1" s="1"/>
  <c r="I57" i="1"/>
  <c r="I209" i="1" s="1"/>
  <c r="P51" i="1"/>
  <c r="P208" i="1" s="1"/>
  <c r="O51" i="1"/>
  <c r="O208" i="1" s="1"/>
  <c r="N51" i="1"/>
  <c r="N208" i="1" s="1"/>
  <c r="M51" i="1"/>
  <c r="M208" i="1" s="1"/>
  <c r="L51" i="1"/>
  <c r="L208" i="1" s="1"/>
  <c r="K51" i="1"/>
  <c r="K208" i="1" s="1"/>
  <c r="J51" i="1"/>
  <c r="J208" i="1" s="1"/>
  <c r="I51" i="1"/>
  <c r="I208" i="1" s="1"/>
  <c r="P45" i="1"/>
  <c r="P207" i="1" s="1"/>
  <c r="O45" i="1"/>
  <c r="O207" i="1" s="1"/>
  <c r="N45" i="1"/>
  <c r="N207" i="1" s="1"/>
  <c r="M45" i="1"/>
  <c r="M207" i="1" s="1"/>
  <c r="M213" i="1" s="1"/>
  <c r="L45" i="1"/>
  <c r="L207" i="1" s="1"/>
  <c r="K45" i="1"/>
  <c r="K207" i="1" s="1"/>
  <c r="J45" i="1"/>
  <c r="J207" i="1" s="1"/>
  <c r="J213" i="1" s="1"/>
  <c r="I45" i="1"/>
  <c r="I207" i="1" s="1"/>
  <c r="I213" i="1" s="1"/>
  <c r="L213" i="1" l="1"/>
  <c r="J234" i="1"/>
  <c r="I234" i="1"/>
  <c r="O234" i="1"/>
  <c r="M234" i="1"/>
  <c r="L234" i="1"/>
  <c r="K234" i="1"/>
  <c r="N213" i="1"/>
  <c r="K213" i="1"/>
  <c r="I206" i="1"/>
  <c r="K206" i="1"/>
  <c r="L206" i="1"/>
  <c r="O213" i="1"/>
  <c r="P213" i="1"/>
  <c r="N206" i="1"/>
  <c r="M206" i="1"/>
  <c r="M242" i="1" s="1"/>
  <c r="J206" i="1"/>
  <c r="P206" i="1"/>
  <c r="O206" i="1"/>
  <c r="M76" i="1"/>
  <c r="M197" i="1" s="1"/>
  <c r="N76" i="1"/>
  <c r="N197" i="1" s="1"/>
  <c r="O76" i="1"/>
  <c r="O197" i="1" s="1"/>
  <c r="P76" i="1"/>
  <c r="P197" i="1" s="1"/>
  <c r="L76" i="1"/>
  <c r="L197" i="1" s="1"/>
  <c r="K76" i="1"/>
  <c r="K197" i="1" s="1"/>
  <c r="J76" i="1"/>
  <c r="J197" i="1" s="1"/>
  <c r="I76" i="1"/>
  <c r="I77" i="1" s="1"/>
  <c r="L242" i="1" l="1"/>
  <c r="K242" i="1"/>
  <c r="P242" i="1"/>
  <c r="J242" i="1"/>
  <c r="O242" i="1"/>
  <c r="N242" i="1"/>
  <c r="I242" i="1"/>
  <c r="P77" i="1"/>
  <c r="O77" i="1"/>
  <c r="N77" i="1"/>
  <c r="I197" i="1"/>
  <c r="M77" i="1"/>
  <c r="L77" i="1"/>
  <c r="K77" i="1"/>
  <c r="J77" i="1"/>
</calcChain>
</file>

<file path=xl/sharedStrings.xml><?xml version="1.0" encoding="utf-8"?>
<sst xmlns="http://schemas.openxmlformats.org/spreadsheetml/2006/main" count="479" uniqueCount="57">
  <si>
    <t>DAILY PRODUCTION REPORT</t>
  </si>
  <si>
    <t>LINE No</t>
  </si>
  <si>
    <t>STYLE</t>
  </si>
  <si>
    <t>FACTORY</t>
  </si>
  <si>
    <t>PO</t>
  </si>
  <si>
    <t>GROUP</t>
  </si>
  <si>
    <t>COLOR</t>
  </si>
  <si>
    <t>INSEAM</t>
  </si>
  <si>
    <t>SIZE</t>
  </si>
  <si>
    <t>QTY (order)</t>
  </si>
  <si>
    <t>CUTTING QTY</t>
  </si>
  <si>
    <t>IN PUT/DAY</t>
  </si>
  <si>
    <t>TOTAL IN PUT</t>
  </si>
  <si>
    <t>OUTPUT/ DAY</t>
  </si>
  <si>
    <t>TOTAL OUTPUT</t>
  </si>
  <si>
    <t>Warehousing</t>
  </si>
  <si>
    <t>Put in carton</t>
  </si>
  <si>
    <t>TUAN DAT 1</t>
  </si>
  <si>
    <t>REGULAR - OMA</t>
  </si>
  <si>
    <t xml:space="preserve">BLACK </t>
  </si>
  <si>
    <t>S</t>
  </si>
  <si>
    <t>M</t>
  </si>
  <si>
    <t>L</t>
  </si>
  <si>
    <t>XL</t>
  </si>
  <si>
    <t>2XL</t>
  </si>
  <si>
    <t>Total</t>
  </si>
  <si>
    <t>TALL - OMT</t>
  </si>
  <si>
    <t>3XL</t>
  </si>
  <si>
    <t>BLACK</t>
  </si>
  <si>
    <t>TOTAL</t>
  </si>
  <si>
    <t>Tuan Dat 1</t>
  </si>
  <si>
    <t>EB000680M</t>
  </si>
  <si>
    <t>37804555-ECOM</t>
  </si>
  <si>
    <t>STROM</t>
  </si>
  <si>
    <t xml:space="preserve">PICANTE </t>
  </si>
  <si>
    <t>PEARL</t>
  </si>
  <si>
    <t>ASPARAGUS</t>
  </si>
  <si>
    <t xml:space="preserve">Total </t>
  </si>
  <si>
    <t>MERIDIAN BLUE</t>
  </si>
  <si>
    <t>GSP-FH26-0044-GRUPO SPORT</t>
  </si>
  <si>
    <t>Total PO 37804555-ECOM - TALL - OMT</t>
  </si>
  <si>
    <t>Total PO 37804555-ECOM - REGULAR OMA</t>
  </si>
  <si>
    <t>Total PO 37804555-ECOM</t>
  </si>
  <si>
    <t>Total PO GSP-FH26-0044-GRUPO SPORT REGULAR - OMA</t>
  </si>
  <si>
    <t>10587 10730
Super Deporte Ecuador/ Chile</t>
  </si>
  <si>
    <t>Total PO 10587 10730
Super Deporte Ecuador/ Chile REGULAR - OMA</t>
  </si>
  <si>
    <t>881141 10587 10730 6299 61833-
Super Deporte Ecuador/ Chile</t>
  </si>
  <si>
    <t>PEAR</t>
  </si>
  <si>
    <t>TBA-Grupo VDP</t>
  </si>
  <si>
    <t>Total PO TBA-Grupo VDP - REGULAR OMA</t>
  </si>
  <si>
    <t>TBA-SCANDINAVIAN</t>
  </si>
  <si>
    <t>Total PO SCANDINAVIAN - REGULAR OMA</t>
  </si>
  <si>
    <t xml:space="preserve">PICANTE  </t>
  </si>
  <si>
    <t xml:space="preserve">GSP-FH26-0044-GRUPO SPORT </t>
  </si>
  <si>
    <t xml:space="preserve">TBA-Grupo VDP </t>
  </si>
  <si>
    <t>SCANDINAVIAN</t>
  </si>
  <si>
    <t>PO 10587 10730
Super Deporte Ecuador/ 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</si>
</sst>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(* #,##0_);_(* \(#,##0\);_(* \-??_);_(@_)"/>
  </numFmts>
  <fonts count="13">
    <font>
      <sz val="11"/>
      <color theme="1"/>
      <name val="Aptos Narrow"/>
      <family val="2"/>
      <charset val="1"/>
    </font>
    <font>
      <sz val="12"/>
      <name val="宋体"/>
      <family val="3"/>
      <charset val="134"/>
    </font>
    <font>
      <sz val="11"/>
      <color rgb="FFFF0000"/>
      <name val="Aptos Narrow"/>
      <family val="2"/>
      <charset val="1"/>
    </font>
    <font>
      <b/>
      <sz val="18"/>
      <color rgb="FF0C0C0C"/>
      <name val="Cambria"/>
      <family val="1"/>
      <charset val="1"/>
    </font>
    <font>
      <b/>
      <sz val="11"/>
      <color rgb="FF0C0C0C"/>
      <name val="Cambria"/>
      <family val="1"/>
      <charset val="1"/>
    </font>
    <font>
      <b/>
      <sz val="11"/>
      <color rgb="FFFF0000"/>
      <name val="Cambria"/>
      <family val="1"/>
      <charset val="1"/>
    </font>
    <font>
      <b/>
      <sz val="11"/>
      <color rgb="FF0070C0"/>
      <name val="Times New Roman"/>
      <family val="1"/>
      <charset val="1"/>
    </font>
    <font>
      <b/>
      <sz val="11"/>
      <color theme="1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color rgb="FFFF0000"/>
      <name val="Times New Roman"/>
      <family val="1"/>
      <charset val="1"/>
    </font>
    <font>
      <b/>
      <sz val="11"/>
      <color theme="1"/>
      <name val="Cambria"/>
      <family val="1"/>
      <charset val="1"/>
    </font>
    <font>
      <b/>
      <sz val="11"/>
      <name val="Aptos Narrow"/>
      <family val="2"/>
      <charset val="1"/>
    </font>
    <font>
      <sz val="11"/>
      <color theme="1"/>
      <name val="Aptos Narrow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99FFCC"/>
        <bgColor rgb="FFCCFFFF"/>
      </patternFill>
    </fill>
    <fill>
      <patternFill patternType="solid">
        <fgColor theme="0"/>
        <bgColor rgb="FFFBE3D6"/>
      </patternFill>
    </fill>
    <fill>
      <patternFill patternType="solid">
        <fgColor theme="5" tint="0.79989013336588644"/>
        <bgColor rgb="FFF2CFEE"/>
      </patternFill>
    </fill>
    <fill>
      <patternFill patternType="solid">
        <fgColor theme="8" tint="0.79989013336588644"/>
        <bgColor rgb="FFFBE3D6"/>
      </patternFill>
    </fill>
    <fill>
      <patternFill patternType="solid">
        <fgColor theme="9" tint="0.79989013336588644"/>
        <bgColor rgb="FFCCFFFF"/>
      </patternFill>
    </fill>
    <fill>
      <patternFill patternType="solid">
        <fgColor theme="8" tint="0.39988402966399123"/>
        <bgColor rgb="FFCC99FF"/>
      </patternFill>
    </fill>
    <fill>
      <patternFill patternType="solid">
        <fgColor rgb="FF00B050"/>
        <bgColor rgb="FF008080"/>
      </patternFill>
    </fill>
    <fill>
      <patternFill patternType="solid">
        <fgColor theme="5" tint="0.79998168889431442"/>
        <bgColor rgb="FFF2CFEE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12" fillId="0" borderId="0" applyBorder="0" applyProtection="0"/>
    <xf numFmtId="0" fontId="1" fillId="0" borderId="0">
      <alignment vertical="center"/>
    </xf>
    <xf numFmtId="0" fontId="1" fillId="0" borderId="0">
      <alignment vertical="center"/>
    </xf>
  </cellStyleXfs>
  <cellXfs count="55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4" fillId="2" borderId="3" xfId="0" applyFont="1" applyFill="1" applyBorder="1" applyAlignment="1">
      <alignment horizontal="righ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165" fontId="8" fillId="3" borderId="2" xfId="1" applyNumberFormat="1" applyFont="1" applyFill="1" applyBorder="1" applyAlignment="1" applyProtection="1">
      <alignment horizontal="right" vertical="center"/>
    </xf>
    <xf numFmtId="165" fontId="9" fillId="3" borderId="2" xfId="1" applyNumberFormat="1" applyFont="1" applyFill="1" applyBorder="1" applyAlignment="1" applyProtection="1">
      <alignment horizontal="right" vertical="center"/>
    </xf>
    <xf numFmtId="165" fontId="9" fillId="0" borderId="2" xfId="0" applyNumberFormat="1" applyFont="1" applyBorder="1" applyAlignment="1">
      <alignment horizontal="right" vertical="center"/>
    </xf>
    <xf numFmtId="165" fontId="7" fillId="0" borderId="3" xfId="0" applyNumberFormat="1" applyFont="1" applyBorder="1" applyAlignment="1">
      <alignment horizontal="right" vertical="center"/>
    </xf>
    <xf numFmtId="0" fontId="6" fillId="4" borderId="2" xfId="0" applyFont="1" applyFill="1" applyBorder="1" applyAlignment="1">
      <alignment vertical="center" wrapText="1"/>
    </xf>
    <xf numFmtId="165" fontId="7" fillId="4" borderId="4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165" fontId="10" fillId="4" borderId="2" xfId="0" applyNumberFormat="1" applyFont="1" applyFill="1" applyBorder="1" applyAlignment="1">
      <alignment horizontal="center" vertical="center"/>
    </xf>
    <xf numFmtId="165" fontId="10" fillId="4" borderId="2" xfId="0" applyNumberFormat="1" applyFont="1" applyFill="1" applyBorder="1" applyAlignment="1">
      <alignment horizontal="right" vertical="center"/>
    </xf>
    <xf numFmtId="165" fontId="5" fillId="4" borderId="2" xfId="0" applyNumberFormat="1" applyFont="1" applyFill="1" applyBorder="1" applyAlignment="1">
      <alignment horizontal="right" vertical="center"/>
    </xf>
    <xf numFmtId="165" fontId="10" fillId="4" borderId="3" xfId="0" applyNumberFormat="1" applyFont="1" applyFill="1" applyBorder="1" applyAlignment="1">
      <alignment horizontal="right" vertical="center"/>
    </xf>
    <xf numFmtId="165" fontId="10" fillId="5" borderId="2" xfId="0" applyNumberFormat="1" applyFont="1" applyFill="1" applyBorder="1" applyAlignment="1">
      <alignment horizontal="center" vertical="center"/>
    </xf>
    <xf numFmtId="165" fontId="10" fillId="6" borderId="2" xfId="0" applyNumberFormat="1" applyFont="1" applyFill="1" applyBorder="1" applyAlignment="1">
      <alignment horizontal="center" vertical="center"/>
    </xf>
    <xf numFmtId="165" fontId="7" fillId="7" borderId="2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5" fontId="0" fillId="0" borderId="2" xfId="0" applyNumberFormat="1" applyBorder="1" applyAlignment="1">
      <alignment horizontal="right" vertical="center"/>
    </xf>
    <xf numFmtId="165" fontId="0" fillId="4" borderId="2" xfId="0" applyNumberForma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6" fillId="9" borderId="2" xfId="0" applyFont="1" applyFill="1" applyBorder="1" applyAlignment="1">
      <alignment vertical="center" wrapText="1"/>
    </xf>
    <xf numFmtId="0" fontId="7" fillId="9" borderId="2" xfId="0" applyFont="1" applyFill="1" applyBorder="1" applyAlignment="1">
      <alignment horizontal="center" vertical="center" wrapText="1"/>
    </xf>
    <xf numFmtId="165" fontId="10" fillId="9" borderId="2" xfId="0" applyNumberFormat="1" applyFont="1" applyFill="1" applyBorder="1" applyAlignment="1">
      <alignment horizontal="center" vertical="center"/>
    </xf>
    <xf numFmtId="165" fontId="10" fillId="9" borderId="2" xfId="0" applyNumberFormat="1" applyFont="1" applyFill="1" applyBorder="1" applyAlignment="1">
      <alignment horizontal="right" vertical="center"/>
    </xf>
    <xf numFmtId="165" fontId="5" fillId="9" borderId="2" xfId="0" applyNumberFormat="1" applyFont="1" applyFill="1" applyBorder="1" applyAlignment="1">
      <alignment horizontal="right" vertical="center"/>
    </xf>
    <xf numFmtId="165" fontId="10" fillId="9" borderId="3" xfId="0" applyNumberFormat="1" applyFont="1" applyFill="1" applyBorder="1" applyAlignment="1">
      <alignment horizontal="right" vertical="center"/>
    </xf>
    <xf numFmtId="0" fontId="0" fillId="10" borderId="0" xfId="0" applyFill="1"/>
    <xf numFmtId="0" fontId="0" fillId="0" borderId="2" xfId="0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65" fontId="7" fillId="4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165" fontId="10" fillId="6" borderId="2" xfId="0" applyNumberFormat="1" applyFont="1" applyFill="1" applyBorder="1" applyAlignment="1">
      <alignment horizontal="center" vertical="center"/>
    </xf>
    <xf numFmtId="165" fontId="7" fillId="9" borderId="2" xfId="0" applyNumberFormat="1" applyFont="1" applyFill="1" applyBorder="1" applyAlignment="1">
      <alignment horizontal="center" vertical="center"/>
    </xf>
    <xf numFmtId="165" fontId="11" fillId="8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165" fontId="7" fillId="9" borderId="3" xfId="0" applyNumberFormat="1" applyFont="1" applyFill="1" applyBorder="1" applyAlignment="1">
      <alignment horizontal="center" vertical="center"/>
    </xf>
    <xf numFmtId="165" fontId="7" fillId="9" borderId="7" xfId="0" applyNumberFormat="1" applyFont="1" applyFill="1" applyBorder="1" applyAlignment="1">
      <alignment horizontal="center" vertical="center"/>
    </xf>
    <xf numFmtId="165" fontId="7" fillId="9" borderId="4" xfId="0" applyNumberFormat="1" applyFont="1" applyFill="1" applyBorder="1" applyAlignment="1">
      <alignment horizontal="center" vertical="center"/>
    </xf>
  </cellXfs>
  <cellStyles count="4">
    <cellStyle name="Comma 2 2 2" xfId="1" xr:uid="{00000000-0005-0000-0000-000000000000}"/>
    <cellStyle name="Normal" xfId="0" builtinId="0"/>
    <cellStyle name="常规 3" xfId="2" xr:uid="{00000000-0005-0000-0000-000002000000}"/>
    <cellStyle name="常规 37" xfId="3" xr:uid="{00000000-0005-0000-0000-000003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99FFCC"/>
      <rgbColor rgb="FF660066"/>
      <rgbColor rgb="FFD86ECC"/>
      <rgbColor rgb="FF0070C0"/>
      <rgbColor rgb="FFF2CF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C0C0C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</a:majorFont>
      <a:minorFont>
        <a:latin typeface="Aptos Narrow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7"/>
  <sheetViews>
    <sheetView tabSelected="1" zoomScale="80" zoomScaleNormal="80" workbookViewId="0">
      <selection activeCell="K12" sqref="K12"/>
    </sheetView>
  </sheetViews>
  <sheetFormatPr defaultColWidth="8.5546875" defaultRowHeight="14.4"/>
  <cols>
    <col min="2" max="2" width="15.77734375" customWidth="1"/>
    <col min="3" max="3" width="24" customWidth="1"/>
    <col min="4" max="4" width="17.77734375" customWidth="1"/>
    <col min="5" max="5" width="12.21875" customWidth="1"/>
    <col min="6" max="6" width="15.6640625" bestFit="1" customWidth="1"/>
    <col min="7" max="7" width="11.44140625" hidden="1" customWidth="1"/>
    <col min="8" max="8" width="9.77734375" customWidth="1"/>
    <col min="9" max="9" width="15.77734375" customWidth="1"/>
    <col min="10" max="10" width="14.6640625" style="1" bestFit="1" customWidth="1"/>
    <col min="11" max="11" width="15.44140625" style="2" customWidth="1"/>
    <col min="12" max="12" width="15.44140625" style="1" customWidth="1"/>
    <col min="13" max="13" width="15.44140625" style="2" customWidth="1"/>
    <col min="14" max="14" width="15.44140625" style="1" customWidth="1"/>
    <col min="15" max="15" width="15.44140625" style="2" customWidth="1"/>
    <col min="16" max="16" width="15.44140625" style="1" customWidth="1"/>
  </cols>
  <sheetData>
    <row r="1" spans="1:16" ht="28.5" customHeight="1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2" spans="1:16" ht="27.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6" t="s">
        <v>11</v>
      </c>
      <c r="L2" s="5" t="s">
        <v>12</v>
      </c>
      <c r="M2" s="6" t="s">
        <v>13</v>
      </c>
      <c r="N2" s="5" t="s">
        <v>14</v>
      </c>
      <c r="O2" s="6" t="s">
        <v>15</v>
      </c>
      <c r="P2" s="7" t="s">
        <v>16</v>
      </c>
    </row>
    <row r="3" spans="1:16" ht="18.75" customHeight="1">
      <c r="A3" s="41"/>
      <c r="B3" s="41" t="s">
        <v>31</v>
      </c>
      <c r="C3" s="42" t="s">
        <v>17</v>
      </c>
      <c r="D3" s="43" t="s">
        <v>32</v>
      </c>
      <c r="E3" s="43" t="s">
        <v>18</v>
      </c>
      <c r="F3" s="43" t="s">
        <v>19</v>
      </c>
      <c r="G3" s="43">
        <v>29</v>
      </c>
      <c r="H3" s="8" t="s">
        <v>20</v>
      </c>
      <c r="I3" s="9">
        <v>50</v>
      </c>
      <c r="J3" s="10"/>
      <c r="K3" s="11"/>
      <c r="L3" s="10"/>
      <c r="M3" s="11"/>
      <c r="N3" s="10"/>
      <c r="O3" s="12"/>
      <c r="P3" s="13"/>
    </row>
    <row r="4" spans="1:16" ht="18.75" customHeight="1">
      <c r="A4" s="41"/>
      <c r="B4" s="41"/>
      <c r="C4" s="42"/>
      <c r="D4" s="43"/>
      <c r="E4" s="43"/>
      <c r="F4" s="43"/>
      <c r="G4" s="43"/>
      <c r="H4" s="8" t="s">
        <v>21</v>
      </c>
      <c r="I4" s="9">
        <v>156</v>
      </c>
      <c r="J4" s="10"/>
      <c r="K4" s="11"/>
      <c r="L4" s="10"/>
      <c r="M4" s="11"/>
      <c r="N4" s="10"/>
      <c r="O4" s="12"/>
      <c r="P4" s="13"/>
    </row>
    <row r="5" spans="1:16" ht="18.75" customHeight="1">
      <c r="A5" s="41"/>
      <c r="B5" s="41"/>
      <c r="C5" s="42"/>
      <c r="D5" s="43"/>
      <c r="E5" s="43"/>
      <c r="F5" s="43"/>
      <c r="G5" s="43"/>
      <c r="H5" s="8" t="s">
        <v>22</v>
      </c>
      <c r="I5" s="9">
        <v>193</v>
      </c>
      <c r="J5" s="10"/>
      <c r="K5" s="11"/>
      <c r="L5" s="10"/>
      <c r="M5" s="11"/>
      <c r="N5" s="10"/>
      <c r="O5" s="12"/>
      <c r="P5" s="13"/>
    </row>
    <row r="6" spans="1:16" ht="18.75" customHeight="1">
      <c r="A6" s="41"/>
      <c r="B6" s="41"/>
      <c r="C6" s="42"/>
      <c r="D6" s="43"/>
      <c r="E6" s="43"/>
      <c r="F6" s="43"/>
      <c r="G6" s="43"/>
      <c r="H6" s="8" t="s">
        <v>23</v>
      </c>
      <c r="I6" s="9">
        <v>105</v>
      </c>
      <c r="J6" s="10"/>
      <c r="K6" s="11"/>
      <c r="L6" s="10"/>
      <c r="M6" s="11"/>
      <c r="N6" s="10"/>
      <c r="O6" s="12"/>
      <c r="P6" s="13"/>
    </row>
    <row r="7" spans="1:16" ht="18.75" customHeight="1">
      <c r="A7" s="41"/>
      <c r="B7" s="41"/>
      <c r="C7" s="42"/>
      <c r="D7" s="43"/>
      <c r="E7" s="43"/>
      <c r="F7" s="43"/>
      <c r="G7" s="43"/>
      <c r="H7" s="8" t="s">
        <v>24</v>
      </c>
      <c r="I7" s="9">
        <v>40</v>
      </c>
      <c r="J7" s="10"/>
      <c r="K7" s="11"/>
      <c r="L7" s="10"/>
      <c r="M7" s="11"/>
      <c r="N7" s="10"/>
      <c r="O7" s="12"/>
      <c r="P7" s="13"/>
    </row>
    <row r="8" spans="1:16" s="35" customFormat="1" ht="18.75" customHeight="1">
      <c r="A8" s="52" t="s">
        <v>37</v>
      </c>
      <c r="B8" s="53"/>
      <c r="C8" s="54"/>
      <c r="D8" s="29"/>
      <c r="E8" s="29"/>
      <c r="F8" s="29"/>
      <c r="G8" s="15"/>
      <c r="H8" s="30" t="s">
        <v>25</v>
      </c>
      <c r="I8" s="31">
        <f t="shared" ref="I8" si="0">SUM(I3:I7)</f>
        <v>544</v>
      </c>
      <c r="J8" s="32">
        <f t="shared" ref="J8" si="1">SUM(J3:J7)</f>
        <v>0</v>
      </c>
      <c r="K8" s="33">
        <f t="shared" ref="K8" si="2">SUM(K3:K7)</f>
        <v>0</v>
      </c>
      <c r="L8" s="32">
        <f t="shared" ref="L8" si="3">SUM(L3:L7)</f>
        <v>0</v>
      </c>
      <c r="M8" s="33">
        <f t="shared" ref="M8" si="4">SUM(M3:M7)</f>
        <v>0</v>
      </c>
      <c r="N8" s="32">
        <f t="shared" ref="N8" si="5">SUM(N3:N7)</f>
        <v>0</v>
      </c>
      <c r="O8" s="33">
        <f t="shared" ref="O8" si="6">SUM(O3:O7)</f>
        <v>0</v>
      </c>
      <c r="P8" s="34">
        <f t="shared" ref="P8" si="7">SUM(P3:P7)</f>
        <v>0</v>
      </c>
    </row>
    <row r="9" spans="1:16" ht="18.75" customHeight="1">
      <c r="A9" s="41"/>
      <c r="B9" s="41" t="s">
        <v>31</v>
      </c>
      <c r="C9" s="42" t="s">
        <v>17</v>
      </c>
      <c r="D9" s="43" t="s">
        <v>32</v>
      </c>
      <c r="E9" s="43" t="s">
        <v>18</v>
      </c>
      <c r="F9" s="43" t="s">
        <v>33</v>
      </c>
      <c r="G9" s="43">
        <v>29</v>
      </c>
      <c r="H9" s="8" t="s">
        <v>20</v>
      </c>
      <c r="I9" s="9">
        <v>50</v>
      </c>
      <c r="J9" s="10"/>
      <c r="K9" s="11"/>
      <c r="L9" s="10"/>
      <c r="M9" s="11"/>
      <c r="N9" s="10"/>
      <c r="O9" s="12"/>
      <c r="P9" s="13"/>
    </row>
    <row r="10" spans="1:16" ht="18.75" customHeight="1">
      <c r="A10" s="41"/>
      <c r="B10" s="41"/>
      <c r="C10" s="42"/>
      <c r="D10" s="43"/>
      <c r="E10" s="43"/>
      <c r="F10" s="43"/>
      <c r="G10" s="43"/>
      <c r="H10" s="8" t="s">
        <v>21</v>
      </c>
      <c r="I10" s="9">
        <v>156</v>
      </c>
      <c r="J10" s="10"/>
      <c r="K10" s="11"/>
      <c r="L10" s="10"/>
      <c r="M10" s="11"/>
      <c r="N10" s="10"/>
      <c r="O10" s="12"/>
      <c r="P10" s="13"/>
    </row>
    <row r="11" spans="1:16" ht="18.75" customHeight="1">
      <c r="A11" s="41"/>
      <c r="B11" s="41"/>
      <c r="C11" s="42"/>
      <c r="D11" s="43"/>
      <c r="E11" s="43"/>
      <c r="F11" s="43"/>
      <c r="G11" s="43"/>
      <c r="H11" s="8" t="s">
        <v>22</v>
      </c>
      <c r="I11" s="9">
        <v>193</v>
      </c>
      <c r="J11" s="10"/>
      <c r="K11" s="11"/>
      <c r="L11" s="10"/>
      <c r="M11" s="11"/>
      <c r="N11" s="10"/>
      <c r="O11" s="12"/>
      <c r="P11" s="13"/>
    </row>
    <row r="12" spans="1:16" ht="18.75" customHeight="1">
      <c r="A12" s="41"/>
      <c r="B12" s="41"/>
      <c r="C12" s="42"/>
      <c r="D12" s="43"/>
      <c r="E12" s="43"/>
      <c r="F12" s="43"/>
      <c r="G12" s="43"/>
      <c r="H12" s="8" t="s">
        <v>23</v>
      </c>
      <c r="I12" s="9">
        <v>105</v>
      </c>
      <c r="J12" s="10"/>
      <c r="K12" s="11"/>
      <c r="L12" s="10"/>
      <c r="M12" s="11"/>
      <c r="N12" s="10"/>
      <c r="O12" s="12"/>
      <c r="P12" s="13"/>
    </row>
    <row r="13" spans="1:16" ht="18.75" customHeight="1">
      <c r="A13" s="41"/>
      <c r="B13" s="41"/>
      <c r="C13" s="42"/>
      <c r="D13" s="43"/>
      <c r="E13" s="43"/>
      <c r="F13" s="43"/>
      <c r="G13" s="43"/>
      <c r="H13" s="8" t="s">
        <v>24</v>
      </c>
      <c r="I13" s="9">
        <v>40</v>
      </c>
      <c r="J13" s="10"/>
      <c r="K13" s="11"/>
      <c r="L13" s="10"/>
      <c r="M13" s="11"/>
      <c r="N13" s="10"/>
      <c r="O13" s="12"/>
      <c r="P13" s="13"/>
    </row>
    <row r="14" spans="1:16" s="35" customFormat="1" ht="18.75" customHeight="1">
      <c r="A14" s="46" t="s">
        <v>37</v>
      </c>
      <c r="B14" s="46"/>
      <c r="C14" s="46"/>
      <c r="D14" s="29"/>
      <c r="E14" s="29"/>
      <c r="F14" s="29"/>
      <c r="G14" s="15"/>
      <c r="H14" s="30" t="s">
        <v>25</v>
      </c>
      <c r="I14" s="31">
        <f t="shared" ref="I14" si="8">SUM(I9:I13)</f>
        <v>544</v>
      </c>
      <c r="J14" s="32">
        <f t="shared" ref="J14" si="9">SUM(J9:J13)</f>
        <v>0</v>
      </c>
      <c r="K14" s="33">
        <f t="shared" ref="K14" si="10">SUM(K9:K13)</f>
        <v>0</v>
      </c>
      <c r="L14" s="32">
        <f t="shared" ref="L14" si="11">SUM(L9:L13)</f>
        <v>0</v>
      </c>
      <c r="M14" s="33">
        <f t="shared" ref="M14" si="12">SUM(M9:M13)</f>
        <v>0</v>
      </c>
      <c r="N14" s="32">
        <f t="shared" ref="N14" si="13">SUM(N9:N13)</f>
        <v>0</v>
      </c>
      <c r="O14" s="33">
        <f t="shared" ref="O14" si="14">SUM(O9:O13)</f>
        <v>0</v>
      </c>
      <c r="P14" s="34">
        <f t="shared" ref="P14" si="15">SUM(P9:P13)</f>
        <v>0</v>
      </c>
    </row>
    <row r="15" spans="1:16" ht="18.75" customHeight="1">
      <c r="A15" s="41"/>
      <c r="B15" s="41" t="s">
        <v>31</v>
      </c>
      <c r="C15" s="42" t="s">
        <v>17</v>
      </c>
      <c r="D15" s="43" t="s">
        <v>32</v>
      </c>
      <c r="E15" s="43" t="s">
        <v>18</v>
      </c>
      <c r="F15" s="43" t="s">
        <v>34</v>
      </c>
      <c r="G15" s="43">
        <v>29</v>
      </c>
      <c r="H15" s="8" t="s">
        <v>20</v>
      </c>
      <c r="I15" s="9">
        <v>20</v>
      </c>
      <c r="J15" s="10"/>
      <c r="K15" s="11"/>
      <c r="L15" s="10"/>
      <c r="M15" s="11"/>
      <c r="N15" s="10"/>
      <c r="O15" s="12"/>
      <c r="P15" s="13"/>
    </row>
    <row r="16" spans="1:16" ht="18.75" customHeight="1">
      <c r="A16" s="41"/>
      <c r="B16" s="41"/>
      <c r="C16" s="42"/>
      <c r="D16" s="43"/>
      <c r="E16" s="43"/>
      <c r="F16" s="43"/>
      <c r="G16" s="43"/>
      <c r="H16" s="8" t="s">
        <v>21</v>
      </c>
      <c r="I16" s="9">
        <v>62</v>
      </c>
      <c r="J16" s="10"/>
      <c r="K16" s="11"/>
      <c r="L16" s="10"/>
      <c r="M16" s="11"/>
      <c r="N16" s="10"/>
      <c r="O16" s="12"/>
      <c r="P16" s="13"/>
    </row>
    <row r="17" spans="1:16" ht="18.75" customHeight="1">
      <c r="A17" s="41"/>
      <c r="B17" s="41"/>
      <c r="C17" s="42"/>
      <c r="D17" s="43"/>
      <c r="E17" s="43"/>
      <c r="F17" s="43"/>
      <c r="G17" s="43"/>
      <c r="H17" s="8" t="s">
        <v>22</v>
      </c>
      <c r="I17" s="9">
        <v>77</v>
      </c>
      <c r="J17" s="10"/>
      <c r="K17" s="11"/>
      <c r="L17" s="10"/>
      <c r="M17" s="11"/>
      <c r="N17" s="10"/>
      <c r="O17" s="12"/>
      <c r="P17" s="13"/>
    </row>
    <row r="18" spans="1:16" ht="18.75" customHeight="1">
      <c r="A18" s="41"/>
      <c r="B18" s="41"/>
      <c r="C18" s="42"/>
      <c r="D18" s="43"/>
      <c r="E18" s="43"/>
      <c r="F18" s="43"/>
      <c r="G18" s="43"/>
      <c r="H18" s="8" t="s">
        <v>23</v>
      </c>
      <c r="I18" s="9">
        <v>42</v>
      </c>
      <c r="J18" s="10"/>
      <c r="K18" s="11"/>
      <c r="L18" s="10"/>
      <c r="M18" s="11"/>
      <c r="N18" s="10"/>
      <c r="O18" s="12"/>
      <c r="P18" s="13"/>
    </row>
    <row r="19" spans="1:16" ht="18.75" customHeight="1">
      <c r="A19" s="41"/>
      <c r="B19" s="41"/>
      <c r="C19" s="42"/>
      <c r="D19" s="43"/>
      <c r="E19" s="43"/>
      <c r="F19" s="43"/>
      <c r="G19" s="43"/>
      <c r="H19" s="8" t="s">
        <v>24</v>
      </c>
      <c r="I19" s="9">
        <v>16</v>
      </c>
      <c r="J19" s="10"/>
      <c r="K19" s="11"/>
      <c r="L19" s="10"/>
      <c r="M19" s="11"/>
      <c r="N19" s="10"/>
      <c r="O19" s="12"/>
      <c r="P19" s="13"/>
    </row>
    <row r="20" spans="1:16" s="35" customFormat="1" ht="18.75" customHeight="1">
      <c r="A20" s="46" t="s">
        <v>37</v>
      </c>
      <c r="B20" s="46"/>
      <c r="C20" s="46"/>
      <c r="D20" s="29"/>
      <c r="E20" s="29"/>
      <c r="F20" s="29"/>
      <c r="G20" s="15"/>
      <c r="H20" s="30" t="s">
        <v>25</v>
      </c>
      <c r="I20" s="31">
        <f t="shared" ref="I20" si="16">SUM(I15:I19)</f>
        <v>217</v>
      </c>
      <c r="J20" s="32">
        <f t="shared" ref="J20" si="17">SUM(J15:J19)</f>
        <v>0</v>
      </c>
      <c r="K20" s="33">
        <f t="shared" ref="K20" si="18">SUM(K15:K19)</f>
        <v>0</v>
      </c>
      <c r="L20" s="32">
        <f t="shared" ref="L20" si="19">SUM(L15:L19)</f>
        <v>0</v>
      </c>
      <c r="M20" s="33">
        <f t="shared" ref="M20" si="20">SUM(M15:M19)</f>
        <v>0</v>
      </c>
      <c r="N20" s="32">
        <f t="shared" ref="N20" si="21">SUM(N15:N19)</f>
        <v>0</v>
      </c>
      <c r="O20" s="33">
        <f t="shared" ref="O20" si="22">SUM(O15:O19)</f>
        <v>0</v>
      </c>
      <c r="P20" s="34">
        <f t="shared" ref="P20" si="23">SUM(P15:P19)</f>
        <v>0</v>
      </c>
    </row>
    <row r="21" spans="1:16" ht="18.75" customHeight="1">
      <c r="A21" s="41"/>
      <c r="B21" s="41" t="s">
        <v>31</v>
      </c>
      <c r="C21" s="42" t="s">
        <v>17</v>
      </c>
      <c r="D21" s="43" t="s">
        <v>32</v>
      </c>
      <c r="E21" s="43" t="s">
        <v>18</v>
      </c>
      <c r="F21" s="43" t="s">
        <v>35</v>
      </c>
      <c r="G21" s="43">
        <v>29</v>
      </c>
      <c r="H21" s="8" t="s">
        <v>20</v>
      </c>
      <c r="I21" s="9">
        <v>20</v>
      </c>
      <c r="J21" s="10"/>
      <c r="K21" s="11"/>
      <c r="L21" s="10"/>
      <c r="M21" s="11"/>
      <c r="N21" s="10"/>
      <c r="O21" s="12"/>
      <c r="P21" s="13"/>
    </row>
    <row r="22" spans="1:16" ht="18.75" customHeight="1">
      <c r="A22" s="41"/>
      <c r="B22" s="41"/>
      <c r="C22" s="42"/>
      <c r="D22" s="43"/>
      <c r="E22" s="43"/>
      <c r="F22" s="43"/>
      <c r="G22" s="43"/>
      <c r="H22" s="8" t="s">
        <v>21</v>
      </c>
      <c r="I22" s="9">
        <v>62</v>
      </c>
      <c r="J22" s="10"/>
      <c r="K22" s="11"/>
      <c r="L22" s="10"/>
      <c r="M22" s="11"/>
      <c r="N22" s="10"/>
      <c r="O22" s="12"/>
      <c r="P22" s="13"/>
    </row>
    <row r="23" spans="1:16" ht="18.75" customHeight="1">
      <c r="A23" s="41"/>
      <c r="B23" s="41"/>
      <c r="C23" s="42"/>
      <c r="D23" s="43"/>
      <c r="E23" s="43"/>
      <c r="F23" s="43"/>
      <c r="G23" s="43"/>
      <c r="H23" s="8" t="s">
        <v>22</v>
      </c>
      <c r="I23" s="9">
        <v>77</v>
      </c>
      <c r="J23" s="10"/>
      <c r="K23" s="11"/>
      <c r="L23" s="10"/>
      <c r="M23" s="11"/>
      <c r="N23" s="10"/>
      <c r="O23" s="12"/>
      <c r="P23" s="13"/>
    </row>
    <row r="24" spans="1:16" ht="18.75" customHeight="1">
      <c r="A24" s="41"/>
      <c r="B24" s="41"/>
      <c r="C24" s="42"/>
      <c r="D24" s="43"/>
      <c r="E24" s="43"/>
      <c r="F24" s="43"/>
      <c r="G24" s="43"/>
      <c r="H24" s="8" t="s">
        <v>23</v>
      </c>
      <c r="I24" s="9">
        <v>42</v>
      </c>
      <c r="J24" s="10"/>
      <c r="K24" s="11"/>
      <c r="L24" s="10"/>
      <c r="M24" s="11"/>
      <c r="N24" s="10"/>
      <c r="O24" s="12"/>
      <c r="P24" s="13"/>
    </row>
    <row r="25" spans="1:16" ht="18.75" customHeight="1">
      <c r="A25" s="41"/>
      <c r="B25" s="41"/>
      <c r="C25" s="42"/>
      <c r="D25" s="43"/>
      <c r="E25" s="43"/>
      <c r="F25" s="43"/>
      <c r="G25" s="43"/>
      <c r="H25" s="8" t="s">
        <v>24</v>
      </c>
      <c r="I25" s="9">
        <v>16</v>
      </c>
      <c r="J25" s="10"/>
      <c r="K25" s="11"/>
      <c r="L25" s="10"/>
      <c r="M25" s="11"/>
      <c r="N25" s="10"/>
      <c r="O25" s="12"/>
      <c r="P25" s="13"/>
    </row>
    <row r="26" spans="1:16" s="35" customFormat="1" ht="18.75" customHeight="1">
      <c r="A26" s="46" t="s">
        <v>37</v>
      </c>
      <c r="B26" s="46"/>
      <c r="C26" s="46"/>
      <c r="D26" s="29"/>
      <c r="E26" s="29"/>
      <c r="F26" s="29"/>
      <c r="G26" s="15"/>
      <c r="H26" s="30" t="s">
        <v>25</v>
      </c>
      <c r="I26" s="31">
        <f t="shared" ref="I26" si="24">SUM(I21:I25)</f>
        <v>217</v>
      </c>
      <c r="J26" s="32">
        <f t="shared" ref="J26" si="25">SUM(J21:J25)</f>
        <v>0</v>
      </c>
      <c r="K26" s="33">
        <f t="shared" ref="K26" si="26">SUM(K21:K25)</f>
        <v>0</v>
      </c>
      <c r="L26" s="32">
        <f t="shared" ref="L26" si="27">SUM(L21:L25)</f>
        <v>0</v>
      </c>
      <c r="M26" s="33">
        <f t="shared" ref="M26" si="28">SUM(M21:M25)</f>
        <v>0</v>
      </c>
      <c r="N26" s="32">
        <f t="shared" ref="N26" si="29">SUM(N21:N25)</f>
        <v>0</v>
      </c>
      <c r="O26" s="33">
        <f t="shared" ref="O26" si="30">SUM(O21:O25)</f>
        <v>0</v>
      </c>
      <c r="P26" s="34">
        <f t="shared" ref="P26" si="31">SUM(P21:P25)</f>
        <v>0</v>
      </c>
    </row>
    <row r="27" spans="1:16" ht="18.75" customHeight="1">
      <c r="A27" s="41"/>
      <c r="B27" s="41" t="s">
        <v>31</v>
      </c>
      <c r="C27" s="42" t="s">
        <v>17</v>
      </c>
      <c r="D27" s="43" t="s">
        <v>32</v>
      </c>
      <c r="E27" s="43" t="s">
        <v>18</v>
      </c>
      <c r="F27" s="43" t="s">
        <v>36</v>
      </c>
      <c r="G27" s="43">
        <v>29</v>
      </c>
      <c r="H27" s="8" t="s">
        <v>20</v>
      </c>
      <c r="I27" s="9">
        <v>30</v>
      </c>
      <c r="J27" s="10"/>
      <c r="K27" s="11"/>
      <c r="L27" s="10"/>
      <c r="M27" s="11"/>
      <c r="N27" s="10"/>
      <c r="O27" s="12"/>
      <c r="P27" s="13"/>
    </row>
    <row r="28" spans="1:16" ht="18.75" customHeight="1">
      <c r="A28" s="41"/>
      <c r="B28" s="41"/>
      <c r="C28" s="42"/>
      <c r="D28" s="43"/>
      <c r="E28" s="43"/>
      <c r="F28" s="43"/>
      <c r="G28" s="43"/>
      <c r="H28" s="8" t="s">
        <v>21</v>
      </c>
      <c r="I28" s="9">
        <v>94</v>
      </c>
      <c r="J28" s="10"/>
      <c r="K28" s="11"/>
      <c r="L28" s="10"/>
      <c r="M28" s="11"/>
      <c r="N28" s="10"/>
      <c r="O28" s="12"/>
      <c r="P28" s="13"/>
    </row>
    <row r="29" spans="1:16" ht="18.75" customHeight="1">
      <c r="A29" s="41"/>
      <c r="B29" s="41"/>
      <c r="C29" s="42"/>
      <c r="D29" s="43"/>
      <c r="E29" s="43"/>
      <c r="F29" s="43"/>
      <c r="G29" s="43"/>
      <c r="H29" s="8" t="s">
        <v>22</v>
      </c>
      <c r="I29" s="9">
        <v>117</v>
      </c>
      <c r="J29" s="10"/>
      <c r="K29" s="11"/>
      <c r="L29" s="10"/>
      <c r="M29" s="11"/>
      <c r="N29" s="10"/>
      <c r="O29" s="12"/>
      <c r="P29" s="13"/>
    </row>
    <row r="30" spans="1:16" ht="18.75" customHeight="1">
      <c r="A30" s="41"/>
      <c r="B30" s="41"/>
      <c r="C30" s="42"/>
      <c r="D30" s="43"/>
      <c r="E30" s="43"/>
      <c r="F30" s="43"/>
      <c r="G30" s="43"/>
      <c r="H30" s="8" t="s">
        <v>23</v>
      </c>
      <c r="I30" s="9">
        <v>63</v>
      </c>
      <c r="J30" s="10"/>
      <c r="K30" s="11"/>
      <c r="L30" s="10"/>
      <c r="M30" s="11"/>
      <c r="N30" s="10"/>
      <c r="O30" s="12"/>
      <c r="P30" s="13"/>
    </row>
    <row r="31" spans="1:16" ht="18.75" customHeight="1">
      <c r="A31" s="41"/>
      <c r="B31" s="41"/>
      <c r="C31" s="42"/>
      <c r="D31" s="43"/>
      <c r="E31" s="43"/>
      <c r="F31" s="43"/>
      <c r="G31" s="43"/>
      <c r="H31" s="8" t="s">
        <v>24</v>
      </c>
      <c r="I31" s="9">
        <v>24</v>
      </c>
      <c r="J31" s="10"/>
      <c r="K31" s="11"/>
      <c r="L31" s="10"/>
      <c r="M31" s="11"/>
      <c r="N31" s="10"/>
      <c r="O31" s="12"/>
      <c r="P31" s="13"/>
    </row>
    <row r="32" spans="1:16" s="35" customFormat="1" ht="18.75" customHeight="1">
      <c r="A32" s="46" t="s">
        <v>37</v>
      </c>
      <c r="B32" s="46"/>
      <c r="C32" s="46"/>
      <c r="D32" s="29"/>
      <c r="E32" s="29"/>
      <c r="F32" s="29"/>
      <c r="G32" s="15"/>
      <c r="H32" s="30" t="s">
        <v>25</v>
      </c>
      <c r="I32" s="31">
        <f t="shared" ref="I32" si="32">SUM(I27:I31)</f>
        <v>328</v>
      </c>
      <c r="J32" s="32">
        <f t="shared" ref="J32" si="33">SUM(J27:J31)</f>
        <v>0</v>
      </c>
      <c r="K32" s="33">
        <f t="shared" ref="K32" si="34">SUM(K27:K31)</f>
        <v>0</v>
      </c>
      <c r="L32" s="32">
        <f t="shared" ref="L32" si="35">SUM(L27:L31)</f>
        <v>0</v>
      </c>
      <c r="M32" s="33">
        <f t="shared" ref="M32" si="36">SUM(M27:M31)</f>
        <v>0</v>
      </c>
      <c r="N32" s="32">
        <f t="shared" ref="N32" si="37">SUM(N27:N31)</f>
        <v>0</v>
      </c>
      <c r="O32" s="33">
        <f t="shared" ref="O32" si="38">SUM(O27:O31)</f>
        <v>0</v>
      </c>
      <c r="P32" s="34">
        <f t="shared" ref="P32" si="39">SUM(P27:P31)</f>
        <v>0</v>
      </c>
    </row>
    <row r="33" spans="1:16" ht="18.75" customHeight="1">
      <c r="A33" s="41"/>
      <c r="B33" s="41" t="s">
        <v>31</v>
      </c>
      <c r="C33" s="42" t="s">
        <v>17</v>
      </c>
      <c r="D33" s="43" t="s">
        <v>32</v>
      </c>
      <c r="E33" s="43" t="s">
        <v>18</v>
      </c>
      <c r="F33" s="43" t="s">
        <v>38</v>
      </c>
      <c r="G33" s="43">
        <v>29</v>
      </c>
      <c r="H33" s="8" t="s">
        <v>20</v>
      </c>
      <c r="I33" s="9">
        <v>30</v>
      </c>
      <c r="J33" s="10"/>
      <c r="K33" s="11"/>
      <c r="L33" s="10"/>
      <c r="M33" s="11"/>
      <c r="N33" s="10"/>
      <c r="O33" s="12"/>
      <c r="P33" s="13"/>
    </row>
    <row r="34" spans="1:16" ht="18.75" customHeight="1">
      <c r="A34" s="41"/>
      <c r="B34" s="41"/>
      <c r="C34" s="42"/>
      <c r="D34" s="43"/>
      <c r="E34" s="43"/>
      <c r="F34" s="43"/>
      <c r="G34" s="43"/>
      <c r="H34" s="8" t="s">
        <v>21</v>
      </c>
      <c r="I34" s="9">
        <v>94</v>
      </c>
      <c r="J34" s="10"/>
      <c r="K34" s="11"/>
      <c r="L34" s="10"/>
      <c r="M34" s="11"/>
      <c r="N34" s="10"/>
      <c r="O34" s="12"/>
      <c r="P34" s="13"/>
    </row>
    <row r="35" spans="1:16" ht="18.75" customHeight="1">
      <c r="A35" s="41"/>
      <c r="B35" s="41"/>
      <c r="C35" s="42"/>
      <c r="D35" s="43"/>
      <c r="E35" s="43"/>
      <c r="F35" s="43"/>
      <c r="G35" s="43"/>
      <c r="H35" s="8" t="s">
        <v>22</v>
      </c>
      <c r="I35" s="9">
        <v>117</v>
      </c>
      <c r="J35" s="10"/>
      <c r="K35" s="11"/>
      <c r="L35" s="10"/>
      <c r="M35" s="11"/>
      <c r="N35" s="10"/>
      <c r="O35" s="12"/>
      <c r="P35" s="13"/>
    </row>
    <row r="36" spans="1:16" ht="18.75" customHeight="1">
      <c r="A36" s="41"/>
      <c r="B36" s="41"/>
      <c r="C36" s="42"/>
      <c r="D36" s="43"/>
      <c r="E36" s="43"/>
      <c r="F36" s="43"/>
      <c r="G36" s="43"/>
      <c r="H36" s="8" t="s">
        <v>23</v>
      </c>
      <c r="I36" s="9">
        <v>63</v>
      </c>
      <c r="J36" s="10"/>
      <c r="K36" s="11"/>
      <c r="L36" s="10"/>
      <c r="M36" s="11"/>
      <c r="N36" s="10"/>
      <c r="O36" s="12"/>
      <c r="P36" s="13"/>
    </row>
    <row r="37" spans="1:16" ht="18.75" customHeight="1">
      <c r="A37" s="41"/>
      <c r="B37" s="41"/>
      <c r="C37" s="42"/>
      <c r="D37" s="43"/>
      <c r="E37" s="43"/>
      <c r="F37" s="43"/>
      <c r="G37" s="43"/>
      <c r="H37" s="8" t="s">
        <v>24</v>
      </c>
      <c r="I37" s="9">
        <v>24</v>
      </c>
      <c r="J37" s="10"/>
      <c r="K37" s="11"/>
      <c r="L37" s="10"/>
      <c r="M37" s="11"/>
      <c r="N37" s="10"/>
      <c r="O37" s="12"/>
      <c r="P37" s="13"/>
    </row>
    <row r="38" spans="1:16" s="35" customFormat="1" ht="18.75" customHeight="1">
      <c r="A38" s="46" t="s">
        <v>37</v>
      </c>
      <c r="B38" s="46"/>
      <c r="C38" s="46"/>
      <c r="D38" s="29"/>
      <c r="E38" s="29"/>
      <c r="F38" s="29"/>
      <c r="G38" s="15"/>
      <c r="H38" s="30" t="s">
        <v>25</v>
      </c>
      <c r="I38" s="31">
        <f t="shared" ref="I38" si="40">SUM(I33:I37)</f>
        <v>328</v>
      </c>
      <c r="J38" s="32">
        <f t="shared" ref="J38" si="41">SUM(J33:J37)</f>
        <v>0</v>
      </c>
      <c r="K38" s="33">
        <f t="shared" ref="K38" si="42">SUM(K33:K37)</f>
        <v>0</v>
      </c>
      <c r="L38" s="32">
        <f t="shared" ref="L38" si="43">SUM(L33:L37)</f>
        <v>0</v>
      </c>
      <c r="M38" s="33">
        <f t="shared" ref="M38" si="44">SUM(M33:M37)</f>
        <v>0</v>
      </c>
      <c r="N38" s="32">
        <f t="shared" ref="N38" si="45">SUM(N33:N37)</f>
        <v>0</v>
      </c>
      <c r="O38" s="33">
        <f t="shared" ref="O38" si="46">SUM(O33:O37)</f>
        <v>0</v>
      </c>
      <c r="P38" s="34">
        <f t="shared" ref="P38" si="47">SUM(P33:P37)</f>
        <v>0</v>
      </c>
    </row>
    <row r="39" spans="1:16" ht="27" customHeight="1">
      <c r="A39" s="44" t="s">
        <v>41</v>
      </c>
      <c r="B39" s="44"/>
      <c r="C39" s="44"/>
      <c r="D39" s="44"/>
      <c r="E39" s="44"/>
      <c r="F39" s="44"/>
      <c r="G39" s="44"/>
      <c r="H39" s="44"/>
      <c r="I39" s="21">
        <f>+I38+I26+I20+I14+I32+I8</f>
        <v>2178</v>
      </c>
      <c r="J39" s="21">
        <f t="shared" ref="J39:P39" si="48">+J38+J26+J20+J14+J32+J8</f>
        <v>0</v>
      </c>
      <c r="K39" s="21">
        <f t="shared" si="48"/>
        <v>0</v>
      </c>
      <c r="L39" s="21">
        <f t="shared" si="48"/>
        <v>0</v>
      </c>
      <c r="M39" s="21">
        <f t="shared" si="48"/>
        <v>0</v>
      </c>
      <c r="N39" s="21">
        <f t="shared" si="48"/>
        <v>0</v>
      </c>
      <c r="O39" s="21">
        <f t="shared" si="48"/>
        <v>0</v>
      </c>
      <c r="P39" s="21">
        <f t="shared" si="48"/>
        <v>0</v>
      </c>
    </row>
    <row r="40" spans="1:16" ht="18.75" customHeight="1">
      <c r="A40" s="41"/>
      <c r="B40" s="41" t="s">
        <v>31</v>
      </c>
      <c r="C40" s="42" t="s">
        <v>17</v>
      </c>
      <c r="D40" s="43" t="s">
        <v>32</v>
      </c>
      <c r="E40" s="43" t="s">
        <v>26</v>
      </c>
      <c r="F40" s="43" t="s">
        <v>19</v>
      </c>
      <c r="G40" s="43">
        <v>29</v>
      </c>
      <c r="H40" s="8" t="s">
        <v>21</v>
      </c>
      <c r="I40" s="9">
        <v>15</v>
      </c>
      <c r="J40" s="10"/>
      <c r="K40" s="11"/>
      <c r="L40" s="10"/>
      <c r="M40" s="11"/>
      <c r="N40" s="10"/>
      <c r="O40" s="12"/>
      <c r="P40" s="13"/>
    </row>
    <row r="41" spans="1:16" ht="18.75" customHeight="1">
      <c r="A41" s="41"/>
      <c r="B41" s="41"/>
      <c r="C41" s="42"/>
      <c r="D41" s="43"/>
      <c r="E41" s="43"/>
      <c r="F41" s="43"/>
      <c r="G41" s="43"/>
      <c r="H41" s="8" t="s">
        <v>22</v>
      </c>
      <c r="I41" s="9">
        <v>49</v>
      </c>
      <c r="J41" s="10"/>
      <c r="K41" s="11"/>
      <c r="L41" s="10"/>
      <c r="M41" s="11"/>
      <c r="N41" s="10"/>
      <c r="O41" s="12"/>
      <c r="P41" s="13"/>
    </row>
    <row r="42" spans="1:16" ht="18.75" customHeight="1">
      <c r="A42" s="41"/>
      <c r="B42" s="41"/>
      <c r="C42" s="42"/>
      <c r="D42" s="43"/>
      <c r="E42" s="43"/>
      <c r="F42" s="43"/>
      <c r="G42" s="43"/>
      <c r="H42" s="8" t="s">
        <v>23</v>
      </c>
      <c r="I42" s="9">
        <v>39</v>
      </c>
      <c r="J42" s="10"/>
      <c r="K42" s="11"/>
      <c r="L42" s="10"/>
      <c r="M42" s="11"/>
      <c r="N42" s="10"/>
      <c r="O42" s="12"/>
      <c r="P42" s="13"/>
    </row>
    <row r="43" spans="1:16" ht="18.75" customHeight="1">
      <c r="A43" s="41"/>
      <c r="B43" s="41"/>
      <c r="C43" s="42"/>
      <c r="D43" s="43"/>
      <c r="E43" s="43"/>
      <c r="F43" s="43"/>
      <c r="G43" s="43"/>
      <c r="H43" s="8" t="s">
        <v>24</v>
      </c>
      <c r="I43" s="9">
        <v>18</v>
      </c>
      <c r="J43" s="10"/>
      <c r="K43" s="11"/>
      <c r="L43" s="10"/>
      <c r="M43" s="11"/>
      <c r="N43" s="10"/>
      <c r="O43" s="12"/>
      <c r="P43" s="13"/>
    </row>
    <row r="44" spans="1:16" ht="18.75" customHeight="1">
      <c r="A44" s="41"/>
      <c r="B44" s="41"/>
      <c r="C44" s="42"/>
      <c r="D44" s="43"/>
      <c r="E44" s="43"/>
      <c r="F44" s="43"/>
      <c r="G44" s="43"/>
      <c r="H44" s="8" t="s">
        <v>27</v>
      </c>
      <c r="I44" s="9">
        <v>14</v>
      </c>
      <c r="J44" s="10"/>
      <c r="K44" s="11"/>
      <c r="L44" s="10"/>
      <c r="M44" s="11"/>
      <c r="N44" s="10"/>
      <c r="O44" s="12"/>
      <c r="P44" s="13"/>
    </row>
    <row r="45" spans="1:16" s="35" customFormat="1" ht="18.75" customHeight="1">
      <c r="A45" s="46" t="s">
        <v>37</v>
      </c>
      <c r="B45" s="46"/>
      <c r="C45" s="46"/>
      <c r="D45" s="29"/>
      <c r="E45" s="29"/>
      <c r="F45" s="29"/>
      <c r="G45" s="15"/>
      <c r="H45" s="30" t="s">
        <v>25</v>
      </c>
      <c r="I45" s="31">
        <f t="shared" ref="I45:P45" si="49">SUM(I40:I44)</f>
        <v>135</v>
      </c>
      <c r="J45" s="32">
        <f t="shared" si="49"/>
        <v>0</v>
      </c>
      <c r="K45" s="33">
        <f t="shared" si="49"/>
        <v>0</v>
      </c>
      <c r="L45" s="32">
        <f t="shared" si="49"/>
        <v>0</v>
      </c>
      <c r="M45" s="33">
        <f t="shared" si="49"/>
        <v>0</v>
      </c>
      <c r="N45" s="32">
        <f t="shared" si="49"/>
        <v>0</v>
      </c>
      <c r="O45" s="33">
        <f t="shared" si="49"/>
        <v>0</v>
      </c>
      <c r="P45" s="34">
        <f t="shared" si="49"/>
        <v>0</v>
      </c>
    </row>
    <row r="46" spans="1:16" ht="18.75" customHeight="1">
      <c r="A46" s="41"/>
      <c r="B46" s="41" t="s">
        <v>31</v>
      </c>
      <c r="C46" s="42" t="s">
        <v>17</v>
      </c>
      <c r="D46" s="43" t="s">
        <v>32</v>
      </c>
      <c r="E46" s="43" t="s">
        <v>26</v>
      </c>
      <c r="F46" s="43" t="s">
        <v>33</v>
      </c>
      <c r="G46" s="43">
        <v>29</v>
      </c>
      <c r="H46" s="8" t="s">
        <v>21</v>
      </c>
      <c r="I46" s="9">
        <v>15</v>
      </c>
      <c r="J46" s="10"/>
      <c r="K46" s="11"/>
      <c r="L46" s="10"/>
      <c r="M46" s="11"/>
      <c r="N46" s="10"/>
      <c r="O46" s="12"/>
      <c r="P46" s="13"/>
    </row>
    <row r="47" spans="1:16" ht="18.75" customHeight="1">
      <c r="A47" s="41"/>
      <c r="B47" s="41"/>
      <c r="C47" s="42"/>
      <c r="D47" s="43"/>
      <c r="E47" s="43"/>
      <c r="F47" s="43"/>
      <c r="G47" s="43"/>
      <c r="H47" s="8" t="s">
        <v>22</v>
      </c>
      <c r="I47" s="9">
        <v>49</v>
      </c>
      <c r="J47" s="10"/>
      <c r="K47" s="11"/>
      <c r="L47" s="10"/>
      <c r="M47" s="11"/>
      <c r="N47" s="10"/>
      <c r="O47" s="12"/>
      <c r="P47" s="13"/>
    </row>
    <row r="48" spans="1:16" ht="18.75" customHeight="1">
      <c r="A48" s="41"/>
      <c r="B48" s="41"/>
      <c r="C48" s="42"/>
      <c r="D48" s="43"/>
      <c r="E48" s="43"/>
      <c r="F48" s="43"/>
      <c r="G48" s="43"/>
      <c r="H48" s="8" t="s">
        <v>23</v>
      </c>
      <c r="I48" s="9">
        <v>39</v>
      </c>
      <c r="J48" s="10"/>
      <c r="K48" s="11"/>
      <c r="L48" s="10"/>
      <c r="M48" s="11"/>
      <c r="N48" s="10"/>
      <c r="O48" s="12"/>
      <c r="P48" s="13"/>
    </row>
    <row r="49" spans="1:16" ht="18.75" customHeight="1">
      <c r="A49" s="41"/>
      <c r="B49" s="41"/>
      <c r="C49" s="42"/>
      <c r="D49" s="43"/>
      <c r="E49" s="43"/>
      <c r="F49" s="43"/>
      <c r="G49" s="43"/>
      <c r="H49" s="8" t="s">
        <v>24</v>
      </c>
      <c r="I49" s="9">
        <v>18</v>
      </c>
      <c r="J49" s="10"/>
      <c r="K49" s="11"/>
      <c r="L49" s="10"/>
      <c r="M49" s="11"/>
      <c r="N49" s="10"/>
      <c r="O49" s="12"/>
      <c r="P49" s="13"/>
    </row>
    <row r="50" spans="1:16" ht="18.75" customHeight="1">
      <c r="A50" s="41"/>
      <c r="B50" s="41"/>
      <c r="C50" s="42"/>
      <c r="D50" s="43"/>
      <c r="E50" s="43"/>
      <c r="F50" s="43"/>
      <c r="G50" s="43"/>
      <c r="H50" s="8" t="s">
        <v>27</v>
      </c>
      <c r="I50" s="9">
        <v>14</v>
      </c>
      <c r="J50" s="10"/>
      <c r="K50" s="11"/>
      <c r="L50" s="10"/>
      <c r="M50" s="11"/>
      <c r="N50" s="10"/>
      <c r="O50" s="12"/>
      <c r="P50" s="13"/>
    </row>
    <row r="51" spans="1:16" s="35" customFormat="1" ht="18.75" customHeight="1">
      <c r="A51" s="46" t="s">
        <v>37</v>
      </c>
      <c r="B51" s="46"/>
      <c r="C51" s="46"/>
      <c r="D51" s="29"/>
      <c r="E51" s="29"/>
      <c r="F51" s="29"/>
      <c r="G51" s="15"/>
      <c r="H51" s="30" t="s">
        <v>25</v>
      </c>
      <c r="I51" s="31">
        <f t="shared" ref="I51:P51" si="50">SUM(I46:I50)</f>
        <v>135</v>
      </c>
      <c r="J51" s="32">
        <f t="shared" si="50"/>
        <v>0</v>
      </c>
      <c r="K51" s="33">
        <f t="shared" si="50"/>
        <v>0</v>
      </c>
      <c r="L51" s="32">
        <f t="shared" si="50"/>
        <v>0</v>
      </c>
      <c r="M51" s="33">
        <f t="shared" si="50"/>
        <v>0</v>
      </c>
      <c r="N51" s="32">
        <f t="shared" si="50"/>
        <v>0</v>
      </c>
      <c r="O51" s="33">
        <f t="shared" si="50"/>
        <v>0</v>
      </c>
      <c r="P51" s="34">
        <f t="shared" si="50"/>
        <v>0</v>
      </c>
    </row>
    <row r="52" spans="1:16" ht="18.75" customHeight="1">
      <c r="A52" s="41"/>
      <c r="B52" s="41" t="s">
        <v>31</v>
      </c>
      <c r="C52" s="42" t="s">
        <v>17</v>
      </c>
      <c r="D52" s="43" t="s">
        <v>32</v>
      </c>
      <c r="E52" s="43" t="s">
        <v>26</v>
      </c>
      <c r="F52" s="43" t="s">
        <v>34</v>
      </c>
      <c r="G52" s="43">
        <v>29</v>
      </c>
      <c r="H52" s="8" t="s">
        <v>21</v>
      </c>
      <c r="I52" s="9">
        <v>6</v>
      </c>
      <c r="J52" s="10"/>
      <c r="K52" s="11"/>
      <c r="L52" s="10"/>
      <c r="M52" s="11"/>
      <c r="N52" s="10"/>
      <c r="O52" s="12"/>
      <c r="P52" s="13"/>
    </row>
    <row r="53" spans="1:16" ht="18.75" customHeight="1">
      <c r="A53" s="41"/>
      <c r="B53" s="41"/>
      <c r="C53" s="42"/>
      <c r="D53" s="43"/>
      <c r="E53" s="43"/>
      <c r="F53" s="43"/>
      <c r="G53" s="43"/>
      <c r="H53" s="8" t="s">
        <v>22</v>
      </c>
      <c r="I53" s="9">
        <v>20</v>
      </c>
      <c r="J53" s="10"/>
      <c r="K53" s="11"/>
      <c r="L53" s="10"/>
      <c r="M53" s="11"/>
      <c r="N53" s="10"/>
      <c r="O53" s="12"/>
      <c r="P53" s="13"/>
    </row>
    <row r="54" spans="1:16" ht="18.75" customHeight="1">
      <c r="A54" s="41"/>
      <c r="B54" s="41"/>
      <c r="C54" s="42"/>
      <c r="D54" s="43"/>
      <c r="E54" s="43"/>
      <c r="F54" s="43"/>
      <c r="G54" s="43"/>
      <c r="H54" s="8" t="s">
        <v>23</v>
      </c>
      <c r="I54" s="9">
        <v>16</v>
      </c>
      <c r="J54" s="10"/>
      <c r="K54" s="11"/>
      <c r="L54" s="10"/>
      <c r="M54" s="11"/>
      <c r="N54" s="10"/>
      <c r="O54" s="12"/>
      <c r="P54" s="13"/>
    </row>
    <row r="55" spans="1:16" ht="18.75" customHeight="1">
      <c r="A55" s="41"/>
      <c r="B55" s="41"/>
      <c r="C55" s="42"/>
      <c r="D55" s="43"/>
      <c r="E55" s="43"/>
      <c r="F55" s="43"/>
      <c r="G55" s="43"/>
      <c r="H55" s="8" t="s">
        <v>24</v>
      </c>
      <c r="I55" s="9">
        <v>7</v>
      </c>
      <c r="J55" s="10"/>
      <c r="K55" s="11"/>
      <c r="L55" s="10"/>
      <c r="M55" s="11"/>
      <c r="N55" s="10"/>
      <c r="O55" s="12"/>
      <c r="P55" s="13"/>
    </row>
    <row r="56" spans="1:16" ht="18.75" customHeight="1">
      <c r="A56" s="41"/>
      <c r="B56" s="41"/>
      <c r="C56" s="42"/>
      <c r="D56" s="43"/>
      <c r="E56" s="43"/>
      <c r="F56" s="43"/>
      <c r="G56" s="43"/>
      <c r="H56" s="8" t="s">
        <v>27</v>
      </c>
      <c r="I56" s="9">
        <v>6</v>
      </c>
      <c r="J56" s="10"/>
      <c r="K56" s="11"/>
      <c r="L56" s="10"/>
      <c r="M56" s="11"/>
      <c r="N56" s="10"/>
      <c r="O56" s="12"/>
      <c r="P56" s="13"/>
    </row>
    <row r="57" spans="1:16" s="35" customFormat="1" ht="18.75" customHeight="1">
      <c r="A57" s="46" t="s">
        <v>37</v>
      </c>
      <c r="B57" s="46"/>
      <c r="C57" s="46"/>
      <c r="D57" s="29"/>
      <c r="E57" s="29"/>
      <c r="F57" s="29"/>
      <c r="G57" s="15"/>
      <c r="H57" s="30" t="s">
        <v>25</v>
      </c>
      <c r="I57" s="31">
        <f t="shared" ref="I57:P57" si="51">SUM(I52:I56)</f>
        <v>55</v>
      </c>
      <c r="J57" s="32">
        <f t="shared" si="51"/>
        <v>0</v>
      </c>
      <c r="K57" s="33">
        <f t="shared" si="51"/>
        <v>0</v>
      </c>
      <c r="L57" s="32">
        <f t="shared" si="51"/>
        <v>0</v>
      </c>
      <c r="M57" s="33">
        <f t="shared" si="51"/>
        <v>0</v>
      </c>
      <c r="N57" s="32">
        <f t="shared" si="51"/>
        <v>0</v>
      </c>
      <c r="O57" s="33">
        <f t="shared" si="51"/>
        <v>0</v>
      </c>
      <c r="P57" s="34">
        <f t="shared" si="51"/>
        <v>0</v>
      </c>
    </row>
    <row r="58" spans="1:16" ht="18.75" customHeight="1">
      <c r="A58" s="41"/>
      <c r="B58" s="41" t="s">
        <v>31</v>
      </c>
      <c r="C58" s="42" t="s">
        <v>17</v>
      </c>
      <c r="D58" s="43" t="s">
        <v>32</v>
      </c>
      <c r="E58" s="43" t="s">
        <v>26</v>
      </c>
      <c r="F58" s="43" t="s">
        <v>35</v>
      </c>
      <c r="G58" s="43">
        <v>29</v>
      </c>
      <c r="H58" s="8" t="s">
        <v>21</v>
      </c>
      <c r="I58" s="9">
        <v>6</v>
      </c>
      <c r="J58" s="10"/>
      <c r="K58" s="11"/>
      <c r="L58" s="10"/>
      <c r="M58" s="11"/>
      <c r="N58" s="10"/>
      <c r="O58" s="12"/>
      <c r="P58" s="13"/>
    </row>
    <row r="59" spans="1:16" ht="18.75" customHeight="1">
      <c r="A59" s="41"/>
      <c r="B59" s="41"/>
      <c r="C59" s="42"/>
      <c r="D59" s="43"/>
      <c r="E59" s="43"/>
      <c r="F59" s="43"/>
      <c r="G59" s="43"/>
      <c r="H59" s="8" t="s">
        <v>22</v>
      </c>
      <c r="I59" s="9">
        <v>20</v>
      </c>
      <c r="J59" s="10"/>
      <c r="K59" s="11"/>
      <c r="L59" s="10"/>
      <c r="M59" s="11"/>
      <c r="N59" s="10"/>
      <c r="O59" s="12"/>
      <c r="P59" s="13"/>
    </row>
    <row r="60" spans="1:16" ht="18.75" customHeight="1">
      <c r="A60" s="41"/>
      <c r="B60" s="41"/>
      <c r="C60" s="42"/>
      <c r="D60" s="43"/>
      <c r="E60" s="43"/>
      <c r="F60" s="43"/>
      <c r="G60" s="43"/>
      <c r="H60" s="8" t="s">
        <v>23</v>
      </c>
      <c r="I60" s="9">
        <v>16</v>
      </c>
      <c r="J60" s="10"/>
      <c r="K60" s="11"/>
      <c r="L60" s="10"/>
      <c r="M60" s="11"/>
      <c r="N60" s="10"/>
      <c r="O60" s="12"/>
      <c r="P60" s="13"/>
    </row>
    <row r="61" spans="1:16" ht="18.75" customHeight="1">
      <c r="A61" s="41"/>
      <c r="B61" s="41"/>
      <c r="C61" s="42"/>
      <c r="D61" s="43"/>
      <c r="E61" s="43"/>
      <c r="F61" s="43"/>
      <c r="G61" s="43"/>
      <c r="H61" s="8" t="s">
        <v>24</v>
      </c>
      <c r="I61" s="9">
        <v>7</v>
      </c>
      <c r="J61" s="10"/>
      <c r="K61" s="11"/>
      <c r="L61" s="10"/>
      <c r="M61" s="11"/>
      <c r="N61" s="10"/>
      <c r="O61" s="12"/>
      <c r="P61" s="13"/>
    </row>
    <row r="62" spans="1:16" ht="18.75" customHeight="1">
      <c r="A62" s="41"/>
      <c r="B62" s="41"/>
      <c r="C62" s="42"/>
      <c r="D62" s="43"/>
      <c r="E62" s="43"/>
      <c r="F62" s="43"/>
      <c r="G62" s="43"/>
      <c r="H62" s="8" t="s">
        <v>27</v>
      </c>
      <c r="I62" s="9">
        <v>6</v>
      </c>
      <c r="J62" s="10"/>
      <c r="K62" s="11"/>
      <c r="L62" s="10"/>
      <c r="M62" s="11"/>
      <c r="N62" s="10"/>
      <c r="O62" s="12"/>
      <c r="P62" s="13"/>
    </row>
    <row r="63" spans="1:16" s="35" customFormat="1" ht="18.75" customHeight="1">
      <c r="A63" s="46" t="s">
        <v>37</v>
      </c>
      <c r="B63" s="46"/>
      <c r="C63" s="46"/>
      <c r="D63" s="29"/>
      <c r="E63" s="29"/>
      <c r="F63" s="29"/>
      <c r="G63" s="15"/>
      <c r="H63" s="30" t="s">
        <v>25</v>
      </c>
      <c r="I63" s="31">
        <f t="shared" ref="I63:P63" si="52">SUM(I58:I62)</f>
        <v>55</v>
      </c>
      <c r="J63" s="32">
        <f t="shared" si="52"/>
        <v>0</v>
      </c>
      <c r="K63" s="33">
        <f t="shared" si="52"/>
        <v>0</v>
      </c>
      <c r="L63" s="32">
        <f t="shared" si="52"/>
        <v>0</v>
      </c>
      <c r="M63" s="33">
        <f t="shared" si="52"/>
        <v>0</v>
      </c>
      <c r="N63" s="32">
        <f t="shared" si="52"/>
        <v>0</v>
      </c>
      <c r="O63" s="33">
        <f t="shared" si="52"/>
        <v>0</v>
      </c>
      <c r="P63" s="34">
        <f t="shared" si="52"/>
        <v>0</v>
      </c>
    </row>
    <row r="64" spans="1:16" ht="18.75" customHeight="1">
      <c r="A64" s="41"/>
      <c r="B64" s="41" t="s">
        <v>31</v>
      </c>
      <c r="C64" s="42" t="s">
        <v>17</v>
      </c>
      <c r="D64" s="43" t="s">
        <v>32</v>
      </c>
      <c r="E64" s="43" t="s">
        <v>26</v>
      </c>
      <c r="F64" s="43" t="s">
        <v>36</v>
      </c>
      <c r="G64" s="43">
        <v>29</v>
      </c>
      <c r="H64" s="8" t="s">
        <v>21</v>
      </c>
      <c r="I64" s="9">
        <v>9</v>
      </c>
      <c r="J64" s="10"/>
      <c r="K64" s="11"/>
      <c r="L64" s="10"/>
      <c r="M64" s="11"/>
      <c r="N64" s="10"/>
      <c r="O64" s="12"/>
      <c r="P64" s="13"/>
    </row>
    <row r="65" spans="1:16" ht="18.75" customHeight="1">
      <c r="A65" s="41"/>
      <c r="B65" s="41"/>
      <c r="C65" s="42"/>
      <c r="D65" s="43"/>
      <c r="E65" s="43"/>
      <c r="F65" s="43"/>
      <c r="G65" s="43"/>
      <c r="H65" s="8" t="s">
        <v>22</v>
      </c>
      <c r="I65" s="9">
        <v>30</v>
      </c>
      <c r="J65" s="10"/>
      <c r="K65" s="11"/>
      <c r="L65" s="10"/>
      <c r="M65" s="11"/>
      <c r="N65" s="10"/>
      <c r="O65" s="12"/>
      <c r="P65" s="13"/>
    </row>
    <row r="66" spans="1:16" ht="18.75" customHeight="1">
      <c r="A66" s="41"/>
      <c r="B66" s="41"/>
      <c r="C66" s="42"/>
      <c r="D66" s="43"/>
      <c r="E66" s="43"/>
      <c r="F66" s="43"/>
      <c r="G66" s="43"/>
      <c r="H66" s="8" t="s">
        <v>23</v>
      </c>
      <c r="I66" s="9">
        <v>24</v>
      </c>
      <c r="J66" s="10"/>
      <c r="K66" s="11"/>
      <c r="L66" s="10"/>
      <c r="M66" s="11"/>
      <c r="N66" s="10"/>
      <c r="O66" s="12"/>
      <c r="P66" s="13"/>
    </row>
    <row r="67" spans="1:16" ht="18.75" customHeight="1">
      <c r="A67" s="41"/>
      <c r="B67" s="41"/>
      <c r="C67" s="42"/>
      <c r="D67" s="43"/>
      <c r="E67" s="43"/>
      <c r="F67" s="43"/>
      <c r="G67" s="43"/>
      <c r="H67" s="8" t="s">
        <v>24</v>
      </c>
      <c r="I67" s="9">
        <v>11</v>
      </c>
      <c r="J67" s="10"/>
      <c r="K67" s="11"/>
      <c r="L67" s="10"/>
      <c r="M67" s="11"/>
      <c r="N67" s="10"/>
      <c r="O67" s="12"/>
      <c r="P67" s="13"/>
    </row>
    <row r="68" spans="1:16" ht="18.75" customHeight="1">
      <c r="A68" s="41"/>
      <c r="B68" s="41"/>
      <c r="C68" s="42"/>
      <c r="D68" s="43"/>
      <c r="E68" s="43"/>
      <c r="F68" s="43"/>
      <c r="G68" s="43"/>
      <c r="H68" s="8" t="s">
        <v>27</v>
      </c>
      <c r="I68" s="9">
        <v>8</v>
      </c>
      <c r="J68" s="10"/>
      <c r="K68" s="11"/>
      <c r="L68" s="10"/>
      <c r="M68" s="11"/>
      <c r="N68" s="10"/>
      <c r="O68" s="12"/>
      <c r="P68" s="13"/>
    </row>
    <row r="69" spans="1:16" s="35" customFormat="1" ht="18.75" customHeight="1">
      <c r="A69" s="46" t="s">
        <v>37</v>
      </c>
      <c r="B69" s="46"/>
      <c r="C69" s="46"/>
      <c r="D69" s="29"/>
      <c r="E69" s="29"/>
      <c r="F69" s="29"/>
      <c r="G69" s="15"/>
      <c r="H69" s="30" t="s">
        <v>25</v>
      </c>
      <c r="I69" s="31">
        <f t="shared" ref="I69" si="53">SUM(I64:I68)</f>
        <v>82</v>
      </c>
      <c r="J69" s="32">
        <f t="shared" ref="J69" si="54">SUM(J64:J68)</f>
        <v>0</v>
      </c>
      <c r="K69" s="33">
        <f t="shared" ref="K69" si="55">SUM(K64:K68)</f>
        <v>0</v>
      </c>
      <c r="L69" s="32">
        <f t="shared" ref="L69" si="56">SUM(L64:L68)</f>
        <v>0</v>
      </c>
      <c r="M69" s="33">
        <f t="shared" ref="M69" si="57">SUM(M64:M68)</f>
        <v>0</v>
      </c>
      <c r="N69" s="32">
        <f t="shared" ref="N69" si="58">SUM(N64:N68)</f>
        <v>0</v>
      </c>
      <c r="O69" s="33">
        <f t="shared" ref="O69" si="59">SUM(O64:O68)</f>
        <v>0</v>
      </c>
      <c r="P69" s="34">
        <f t="shared" ref="P69" si="60">SUM(P64:P68)</f>
        <v>0</v>
      </c>
    </row>
    <row r="70" spans="1:16" ht="18.75" customHeight="1">
      <c r="A70" s="41"/>
      <c r="B70" s="41" t="s">
        <v>31</v>
      </c>
      <c r="C70" s="42" t="s">
        <v>17</v>
      </c>
      <c r="D70" s="43" t="s">
        <v>32</v>
      </c>
      <c r="E70" s="43" t="s">
        <v>26</v>
      </c>
      <c r="F70" s="43" t="s">
        <v>38</v>
      </c>
      <c r="G70" s="43">
        <v>29</v>
      </c>
      <c r="H70" s="8" t="s">
        <v>21</v>
      </c>
      <c r="I70" s="9">
        <v>9</v>
      </c>
      <c r="J70" s="10"/>
      <c r="K70" s="11"/>
      <c r="L70" s="10"/>
      <c r="M70" s="11"/>
      <c r="N70" s="10"/>
      <c r="O70" s="12"/>
      <c r="P70" s="13"/>
    </row>
    <row r="71" spans="1:16" ht="18.75" customHeight="1">
      <c r="A71" s="41"/>
      <c r="B71" s="41"/>
      <c r="C71" s="42"/>
      <c r="D71" s="43"/>
      <c r="E71" s="43"/>
      <c r="F71" s="43"/>
      <c r="G71" s="43"/>
      <c r="H71" s="8" t="s">
        <v>22</v>
      </c>
      <c r="I71" s="9">
        <v>30</v>
      </c>
      <c r="J71" s="10"/>
      <c r="K71" s="11"/>
      <c r="L71" s="10"/>
      <c r="M71" s="11"/>
      <c r="N71" s="10"/>
      <c r="O71" s="12"/>
      <c r="P71" s="13"/>
    </row>
    <row r="72" spans="1:16" ht="18.75" customHeight="1">
      <c r="A72" s="41"/>
      <c r="B72" s="41"/>
      <c r="C72" s="42"/>
      <c r="D72" s="43"/>
      <c r="E72" s="43"/>
      <c r="F72" s="43"/>
      <c r="G72" s="43"/>
      <c r="H72" s="8" t="s">
        <v>23</v>
      </c>
      <c r="I72" s="9">
        <v>24</v>
      </c>
      <c r="J72" s="10"/>
      <c r="K72" s="11"/>
      <c r="L72" s="10"/>
      <c r="M72" s="11"/>
      <c r="N72" s="10"/>
      <c r="O72" s="12"/>
      <c r="P72" s="13"/>
    </row>
    <row r="73" spans="1:16" ht="18.75" customHeight="1">
      <c r="A73" s="41"/>
      <c r="B73" s="41"/>
      <c r="C73" s="42"/>
      <c r="D73" s="43"/>
      <c r="E73" s="43"/>
      <c r="F73" s="43"/>
      <c r="G73" s="43"/>
      <c r="H73" s="8" t="s">
        <v>24</v>
      </c>
      <c r="I73" s="9">
        <v>11</v>
      </c>
      <c r="J73" s="10"/>
      <c r="K73" s="11"/>
      <c r="L73" s="10"/>
      <c r="M73" s="11"/>
      <c r="N73" s="10"/>
      <c r="O73" s="12"/>
      <c r="P73" s="13"/>
    </row>
    <row r="74" spans="1:16" ht="18.75" customHeight="1">
      <c r="A74" s="41"/>
      <c r="B74" s="41"/>
      <c r="C74" s="42"/>
      <c r="D74" s="43"/>
      <c r="E74" s="43"/>
      <c r="F74" s="43"/>
      <c r="G74" s="43"/>
      <c r="H74" s="8" t="s">
        <v>27</v>
      </c>
      <c r="I74" s="9">
        <v>8</v>
      </c>
      <c r="J74" s="10"/>
      <c r="K74" s="11"/>
      <c r="L74" s="10"/>
      <c r="M74" s="11"/>
      <c r="N74" s="10"/>
      <c r="O74" s="12"/>
      <c r="P74" s="13"/>
    </row>
    <row r="75" spans="1:16" s="35" customFormat="1" ht="18.75" customHeight="1">
      <c r="A75" s="46" t="s">
        <v>37</v>
      </c>
      <c r="B75" s="46"/>
      <c r="C75" s="46"/>
      <c r="D75" s="29"/>
      <c r="E75" s="29"/>
      <c r="F75" s="29"/>
      <c r="G75" s="15"/>
      <c r="H75" s="30" t="s">
        <v>25</v>
      </c>
      <c r="I75" s="31">
        <f t="shared" ref="I75:P75" si="61">SUM(I70:I74)</f>
        <v>82</v>
      </c>
      <c r="J75" s="32">
        <f t="shared" si="61"/>
        <v>0</v>
      </c>
      <c r="K75" s="33">
        <f t="shared" si="61"/>
        <v>0</v>
      </c>
      <c r="L75" s="32">
        <f t="shared" si="61"/>
        <v>0</v>
      </c>
      <c r="M75" s="33">
        <f t="shared" si="61"/>
        <v>0</v>
      </c>
      <c r="N75" s="32">
        <f t="shared" si="61"/>
        <v>0</v>
      </c>
      <c r="O75" s="33">
        <f t="shared" si="61"/>
        <v>0</v>
      </c>
      <c r="P75" s="34">
        <f t="shared" si="61"/>
        <v>0</v>
      </c>
    </row>
    <row r="76" spans="1:16" ht="27" customHeight="1">
      <c r="A76" s="44" t="s">
        <v>40</v>
      </c>
      <c r="B76" s="44"/>
      <c r="C76" s="44"/>
      <c r="D76" s="44"/>
      <c r="E76" s="44"/>
      <c r="F76" s="44"/>
      <c r="G76" s="44"/>
      <c r="H76" s="44"/>
      <c r="I76" s="21">
        <f>+I75+I63+I57+I51+I69+I45</f>
        <v>544</v>
      </c>
      <c r="J76" s="21">
        <f t="shared" ref="J76:P76" si="62">+J75+J63+J57+J51+J69+J45</f>
        <v>0</v>
      </c>
      <c r="K76" s="21">
        <f t="shared" si="62"/>
        <v>0</v>
      </c>
      <c r="L76" s="21">
        <f t="shared" si="62"/>
        <v>0</v>
      </c>
      <c r="M76" s="21">
        <f t="shared" si="62"/>
        <v>0</v>
      </c>
      <c r="N76" s="21">
        <f t="shared" si="62"/>
        <v>0</v>
      </c>
      <c r="O76" s="21">
        <f t="shared" si="62"/>
        <v>0</v>
      </c>
      <c r="P76" s="21">
        <f t="shared" si="62"/>
        <v>0</v>
      </c>
    </row>
    <row r="77" spans="1:16" ht="27" customHeight="1">
      <c r="A77" s="45" t="s">
        <v>42</v>
      </c>
      <c r="B77" s="45"/>
      <c r="C77" s="45"/>
      <c r="D77" s="45"/>
      <c r="E77" s="45"/>
      <c r="F77" s="45"/>
      <c r="G77" s="45"/>
      <c r="H77" s="45"/>
      <c r="I77" s="22">
        <f>+SUM(I39,I76)</f>
        <v>2722</v>
      </c>
      <c r="J77" s="22">
        <f t="shared" ref="J77:P77" si="63">+SUM(J39,J76)</f>
        <v>0</v>
      </c>
      <c r="K77" s="22">
        <f t="shared" si="63"/>
        <v>0</v>
      </c>
      <c r="L77" s="22">
        <f t="shared" si="63"/>
        <v>0</v>
      </c>
      <c r="M77" s="22">
        <f t="shared" si="63"/>
        <v>0</v>
      </c>
      <c r="N77" s="22">
        <f t="shared" si="63"/>
        <v>0</v>
      </c>
      <c r="O77" s="22">
        <f t="shared" si="63"/>
        <v>0</v>
      </c>
      <c r="P77" s="22">
        <f t="shared" si="63"/>
        <v>0</v>
      </c>
    </row>
    <row r="78" spans="1:16" ht="18.75" customHeight="1">
      <c r="A78" s="41"/>
      <c r="B78" s="41" t="s">
        <v>31</v>
      </c>
      <c r="C78" s="42" t="s">
        <v>17</v>
      </c>
      <c r="D78" s="43" t="s">
        <v>39</v>
      </c>
      <c r="E78" s="43" t="s">
        <v>18</v>
      </c>
      <c r="F78" s="43" t="s">
        <v>19</v>
      </c>
      <c r="G78" s="43">
        <v>29</v>
      </c>
      <c r="H78" s="8" t="s">
        <v>20</v>
      </c>
      <c r="I78" s="9">
        <v>40</v>
      </c>
      <c r="J78" s="10"/>
      <c r="K78" s="11"/>
      <c r="L78" s="10"/>
      <c r="M78" s="11"/>
      <c r="N78" s="10"/>
      <c r="O78" s="12"/>
      <c r="P78" s="13"/>
    </row>
    <row r="79" spans="1:16" ht="18.75" customHeight="1">
      <c r="A79" s="41"/>
      <c r="B79" s="41"/>
      <c r="C79" s="42"/>
      <c r="D79" s="43"/>
      <c r="E79" s="43"/>
      <c r="F79" s="43"/>
      <c r="G79" s="43"/>
      <c r="H79" s="8" t="s">
        <v>21</v>
      </c>
      <c r="I79" s="9">
        <v>40</v>
      </c>
      <c r="J79" s="10"/>
      <c r="K79" s="11"/>
      <c r="L79" s="10"/>
      <c r="M79" s="11"/>
      <c r="N79" s="10"/>
      <c r="O79" s="12"/>
      <c r="P79" s="13"/>
    </row>
    <row r="80" spans="1:16" ht="18.75" customHeight="1">
      <c r="A80" s="41"/>
      <c r="B80" s="41"/>
      <c r="C80" s="42"/>
      <c r="D80" s="43"/>
      <c r="E80" s="43"/>
      <c r="F80" s="43"/>
      <c r="G80" s="43"/>
      <c r="H80" s="8" t="s">
        <v>22</v>
      </c>
      <c r="I80" s="9">
        <v>40</v>
      </c>
      <c r="J80" s="10"/>
      <c r="K80" s="11"/>
      <c r="L80" s="10"/>
      <c r="M80" s="11"/>
      <c r="N80" s="10"/>
      <c r="O80" s="12"/>
      <c r="P80" s="13"/>
    </row>
    <row r="81" spans="1:16" ht="18.75" customHeight="1">
      <c r="A81" s="41"/>
      <c r="B81" s="41"/>
      <c r="C81" s="42"/>
      <c r="D81" s="43"/>
      <c r="E81" s="43"/>
      <c r="F81" s="43"/>
      <c r="G81" s="43"/>
      <c r="H81" s="8" t="s">
        <v>23</v>
      </c>
      <c r="I81" s="9">
        <v>18</v>
      </c>
      <c r="J81" s="10"/>
      <c r="K81" s="11"/>
      <c r="L81" s="10"/>
      <c r="M81" s="11"/>
      <c r="N81" s="10"/>
      <c r="O81" s="12"/>
      <c r="P81" s="13"/>
    </row>
    <row r="82" spans="1:16" ht="18.75" customHeight="1">
      <c r="A82" s="41"/>
      <c r="B82" s="41"/>
      <c r="C82" s="42"/>
      <c r="D82" s="43"/>
      <c r="E82" s="43"/>
      <c r="F82" s="43"/>
      <c r="G82" s="43"/>
      <c r="H82" s="8" t="s">
        <v>24</v>
      </c>
      <c r="I82" s="9">
        <v>6</v>
      </c>
      <c r="J82" s="10"/>
      <c r="K82" s="11"/>
      <c r="L82" s="10"/>
      <c r="M82" s="11"/>
      <c r="N82" s="10"/>
      <c r="O82" s="12"/>
      <c r="P82" s="13"/>
    </row>
    <row r="83" spans="1:16" ht="18.75" customHeight="1">
      <c r="A83" s="40" t="s">
        <v>37</v>
      </c>
      <c r="B83" s="40"/>
      <c r="C83" s="40"/>
      <c r="D83" s="14"/>
      <c r="E83" s="14"/>
      <c r="F83" s="14"/>
      <c r="G83" s="15"/>
      <c r="H83" s="16" t="s">
        <v>25</v>
      </c>
      <c r="I83" s="17">
        <f t="shared" ref="I83" si="64">SUM(I78:I82)</f>
        <v>144</v>
      </c>
      <c r="J83" s="18">
        <f t="shared" ref="J83" si="65">SUM(J78:J82)</f>
        <v>0</v>
      </c>
      <c r="K83" s="19">
        <f t="shared" ref="K83" si="66">SUM(K78:K82)</f>
        <v>0</v>
      </c>
      <c r="L83" s="18">
        <f t="shared" ref="L83" si="67">SUM(L78:L82)</f>
        <v>0</v>
      </c>
      <c r="M83" s="19">
        <f t="shared" ref="M83" si="68">SUM(M78:M82)</f>
        <v>0</v>
      </c>
      <c r="N83" s="18">
        <f t="shared" ref="N83" si="69">SUM(N78:N82)</f>
        <v>0</v>
      </c>
      <c r="O83" s="19">
        <f t="shared" ref="O83" si="70">SUM(O78:O82)</f>
        <v>0</v>
      </c>
      <c r="P83" s="20">
        <f t="shared" ref="P83" si="71">SUM(P78:P82)</f>
        <v>0</v>
      </c>
    </row>
    <row r="84" spans="1:16" ht="18.75" customHeight="1">
      <c r="A84" s="41"/>
      <c r="B84" s="41" t="s">
        <v>31</v>
      </c>
      <c r="C84" s="42" t="s">
        <v>17</v>
      </c>
      <c r="D84" s="43" t="s">
        <v>39</v>
      </c>
      <c r="E84" s="43" t="s">
        <v>18</v>
      </c>
      <c r="F84" s="43" t="s">
        <v>34</v>
      </c>
      <c r="G84" s="43">
        <v>29</v>
      </c>
      <c r="H84" s="8" t="s">
        <v>20</v>
      </c>
      <c r="I84" s="9">
        <v>40</v>
      </c>
      <c r="J84" s="10"/>
      <c r="K84" s="11"/>
      <c r="L84" s="10"/>
      <c r="M84" s="11"/>
      <c r="N84" s="10"/>
      <c r="O84" s="12"/>
      <c r="P84" s="13"/>
    </row>
    <row r="85" spans="1:16" ht="18.75" customHeight="1">
      <c r="A85" s="41"/>
      <c r="B85" s="41"/>
      <c r="C85" s="42"/>
      <c r="D85" s="43"/>
      <c r="E85" s="43"/>
      <c r="F85" s="43"/>
      <c r="G85" s="43"/>
      <c r="H85" s="8" t="s">
        <v>21</v>
      </c>
      <c r="I85" s="9">
        <v>40</v>
      </c>
      <c r="J85" s="10"/>
      <c r="K85" s="11"/>
      <c r="L85" s="10"/>
      <c r="M85" s="11"/>
      <c r="N85" s="10"/>
      <c r="O85" s="12"/>
      <c r="P85" s="13"/>
    </row>
    <row r="86" spans="1:16" ht="18.75" customHeight="1">
      <c r="A86" s="41"/>
      <c r="B86" s="41"/>
      <c r="C86" s="42"/>
      <c r="D86" s="43"/>
      <c r="E86" s="43"/>
      <c r="F86" s="43"/>
      <c r="G86" s="43"/>
      <c r="H86" s="8" t="s">
        <v>22</v>
      </c>
      <c r="I86" s="9">
        <v>40</v>
      </c>
      <c r="J86" s="10"/>
      <c r="K86" s="11"/>
      <c r="L86" s="10"/>
      <c r="M86" s="11"/>
      <c r="N86" s="10"/>
      <c r="O86" s="12"/>
      <c r="P86" s="13"/>
    </row>
    <row r="87" spans="1:16" ht="18.75" customHeight="1">
      <c r="A87" s="41"/>
      <c r="B87" s="41"/>
      <c r="C87" s="42"/>
      <c r="D87" s="43"/>
      <c r="E87" s="43"/>
      <c r="F87" s="43"/>
      <c r="G87" s="43"/>
      <c r="H87" s="8" t="s">
        <v>23</v>
      </c>
      <c r="I87" s="9">
        <v>18</v>
      </c>
      <c r="J87" s="10"/>
      <c r="K87" s="11"/>
      <c r="L87" s="10"/>
      <c r="M87" s="11"/>
      <c r="N87" s="10"/>
      <c r="O87" s="12"/>
      <c r="P87" s="13"/>
    </row>
    <row r="88" spans="1:16" ht="18.75" customHeight="1">
      <c r="A88" s="41"/>
      <c r="B88" s="41"/>
      <c r="C88" s="42"/>
      <c r="D88" s="43"/>
      <c r="E88" s="43"/>
      <c r="F88" s="43"/>
      <c r="G88" s="43"/>
      <c r="H88" s="8" t="s">
        <v>24</v>
      </c>
      <c r="I88" s="9">
        <v>6</v>
      </c>
      <c r="J88" s="10"/>
      <c r="K88" s="11"/>
      <c r="L88" s="10"/>
      <c r="M88" s="11"/>
      <c r="N88" s="10"/>
      <c r="O88" s="12"/>
      <c r="P88" s="13"/>
    </row>
    <row r="89" spans="1:16" ht="18.75" customHeight="1">
      <c r="A89" s="40" t="s">
        <v>37</v>
      </c>
      <c r="B89" s="40"/>
      <c r="C89" s="40"/>
      <c r="D89" s="14"/>
      <c r="E89" s="14"/>
      <c r="F89" s="14"/>
      <c r="G89" s="15"/>
      <c r="H89" s="16" t="s">
        <v>25</v>
      </c>
      <c r="I89" s="17">
        <f t="shared" ref="I89" si="72">SUM(I84:I88)</f>
        <v>144</v>
      </c>
      <c r="J89" s="18">
        <f t="shared" ref="J89" si="73">SUM(J84:J88)</f>
        <v>0</v>
      </c>
      <c r="K89" s="19">
        <f t="shared" ref="K89" si="74">SUM(K84:K88)</f>
        <v>0</v>
      </c>
      <c r="L89" s="18">
        <f t="shared" ref="L89" si="75">SUM(L84:L88)</f>
        <v>0</v>
      </c>
      <c r="M89" s="19">
        <f t="shared" ref="M89" si="76">SUM(M84:M88)</f>
        <v>0</v>
      </c>
      <c r="N89" s="18">
        <f t="shared" ref="N89" si="77">SUM(N84:N88)</f>
        <v>0</v>
      </c>
      <c r="O89" s="19">
        <f t="shared" ref="O89" si="78">SUM(O84:O88)</f>
        <v>0</v>
      </c>
      <c r="P89" s="20">
        <f t="shared" ref="P89" si="79">SUM(P84:P88)</f>
        <v>0</v>
      </c>
    </row>
    <row r="90" spans="1:16" ht="18.75" customHeight="1">
      <c r="A90" s="41"/>
      <c r="B90" s="41" t="s">
        <v>31</v>
      </c>
      <c r="C90" s="42" t="s">
        <v>17</v>
      </c>
      <c r="D90" s="43" t="s">
        <v>39</v>
      </c>
      <c r="E90" s="43" t="s">
        <v>18</v>
      </c>
      <c r="F90" s="43" t="s">
        <v>35</v>
      </c>
      <c r="G90" s="43">
        <v>29</v>
      </c>
      <c r="H90" s="8" t="s">
        <v>20</v>
      </c>
      <c r="I90" s="9">
        <v>40</v>
      </c>
      <c r="J90" s="10"/>
      <c r="K90" s="11"/>
      <c r="L90" s="10"/>
      <c r="M90" s="11"/>
      <c r="N90" s="10"/>
      <c r="O90" s="12"/>
      <c r="P90" s="13"/>
    </row>
    <row r="91" spans="1:16" ht="18.75" customHeight="1">
      <c r="A91" s="41"/>
      <c r="B91" s="41"/>
      <c r="C91" s="42"/>
      <c r="D91" s="43"/>
      <c r="E91" s="43"/>
      <c r="F91" s="43"/>
      <c r="G91" s="43"/>
      <c r="H91" s="8" t="s">
        <v>21</v>
      </c>
      <c r="I91" s="9">
        <v>40</v>
      </c>
      <c r="J91" s="10"/>
      <c r="K91" s="11"/>
      <c r="L91" s="10"/>
      <c r="M91" s="11"/>
      <c r="N91" s="10"/>
      <c r="O91" s="12"/>
      <c r="P91" s="13"/>
    </row>
    <row r="92" spans="1:16" ht="18.75" customHeight="1">
      <c r="A92" s="41"/>
      <c r="B92" s="41"/>
      <c r="C92" s="42"/>
      <c r="D92" s="43"/>
      <c r="E92" s="43"/>
      <c r="F92" s="43"/>
      <c r="G92" s="43"/>
      <c r="H92" s="8" t="s">
        <v>22</v>
      </c>
      <c r="I92" s="9">
        <v>40</v>
      </c>
      <c r="J92" s="10"/>
      <c r="K92" s="11"/>
      <c r="L92" s="10"/>
      <c r="M92" s="11"/>
      <c r="N92" s="10"/>
      <c r="O92" s="12"/>
      <c r="P92" s="13"/>
    </row>
    <row r="93" spans="1:16" ht="18.75" customHeight="1">
      <c r="A93" s="41"/>
      <c r="B93" s="41"/>
      <c r="C93" s="42"/>
      <c r="D93" s="43"/>
      <c r="E93" s="43"/>
      <c r="F93" s="43"/>
      <c r="G93" s="43"/>
      <c r="H93" s="8" t="s">
        <v>23</v>
      </c>
      <c r="I93" s="9">
        <v>18</v>
      </c>
      <c r="J93" s="10"/>
      <c r="K93" s="11"/>
      <c r="L93" s="10"/>
      <c r="M93" s="11"/>
      <c r="N93" s="10"/>
      <c r="O93" s="12"/>
      <c r="P93" s="13"/>
    </row>
    <row r="94" spans="1:16" ht="18.75" customHeight="1">
      <c r="A94" s="41"/>
      <c r="B94" s="41"/>
      <c r="C94" s="42"/>
      <c r="D94" s="43"/>
      <c r="E94" s="43"/>
      <c r="F94" s="43"/>
      <c r="G94" s="43"/>
      <c r="H94" s="8" t="s">
        <v>24</v>
      </c>
      <c r="I94" s="9">
        <v>6</v>
      </c>
      <c r="J94" s="10"/>
      <c r="K94" s="11"/>
      <c r="L94" s="10"/>
      <c r="M94" s="11"/>
      <c r="N94" s="10"/>
      <c r="O94" s="12"/>
      <c r="P94" s="13"/>
    </row>
    <row r="95" spans="1:16" ht="18.75" customHeight="1">
      <c r="A95" s="40" t="s">
        <v>37</v>
      </c>
      <c r="B95" s="40"/>
      <c r="C95" s="40"/>
      <c r="D95" s="14"/>
      <c r="E95" s="14"/>
      <c r="F95" s="14"/>
      <c r="G95" s="15"/>
      <c r="H95" s="16" t="s">
        <v>25</v>
      </c>
      <c r="I95" s="17">
        <f t="shared" ref="I95" si="80">SUM(I90:I94)</f>
        <v>144</v>
      </c>
      <c r="J95" s="18">
        <f t="shared" ref="J95" si="81">SUM(J90:J94)</f>
        <v>0</v>
      </c>
      <c r="K95" s="19">
        <f t="shared" ref="K95" si="82">SUM(K90:K94)</f>
        <v>0</v>
      </c>
      <c r="L95" s="18">
        <f t="shared" ref="L95" si="83">SUM(L90:L94)</f>
        <v>0</v>
      </c>
      <c r="M95" s="19">
        <f t="shared" ref="M95" si="84">SUM(M90:M94)</f>
        <v>0</v>
      </c>
      <c r="N95" s="18">
        <f t="shared" ref="N95" si="85">SUM(N90:N94)</f>
        <v>0</v>
      </c>
      <c r="O95" s="19">
        <f t="shared" ref="O95" si="86">SUM(O90:O94)</f>
        <v>0</v>
      </c>
      <c r="P95" s="20">
        <f t="shared" ref="P95" si="87">SUM(P90:P94)</f>
        <v>0</v>
      </c>
    </row>
    <row r="96" spans="1:16" ht="18.75" customHeight="1">
      <c r="A96" s="41"/>
      <c r="B96" s="41" t="s">
        <v>31</v>
      </c>
      <c r="C96" s="42" t="s">
        <v>17</v>
      </c>
      <c r="D96" s="43" t="s">
        <v>39</v>
      </c>
      <c r="E96" s="43" t="s">
        <v>18</v>
      </c>
      <c r="F96" s="43" t="s">
        <v>36</v>
      </c>
      <c r="G96" s="43">
        <v>29</v>
      </c>
      <c r="H96" s="8" t="s">
        <v>20</v>
      </c>
      <c r="I96" s="9">
        <v>40</v>
      </c>
      <c r="J96" s="10"/>
      <c r="K96" s="11"/>
      <c r="L96" s="10"/>
      <c r="M96" s="11"/>
      <c r="N96" s="10"/>
      <c r="O96" s="12"/>
      <c r="P96" s="13"/>
    </row>
    <row r="97" spans="1:16" ht="18.75" customHeight="1">
      <c r="A97" s="41"/>
      <c r="B97" s="41"/>
      <c r="C97" s="42"/>
      <c r="D97" s="43"/>
      <c r="E97" s="43"/>
      <c r="F97" s="43"/>
      <c r="G97" s="43"/>
      <c r="H97" s="8" t="s">
        <v>21</v>
      </c>
      <c r="I97" s="9">
        <v>40</v>
      </c>
      <c r="J97" s="10"/>
      <c r="K97" s="11"/>
      <c r="L97" s="10"/>
      <c r="M97" s="11"/>
      <c r="N97" s="10"/>
      <c r="O97" s="12"/>
      <c r="P97" s="13"/>
    </row>
    <row r="98" spans="1:16" ht="18.75" customHeight="1">
      <c r="A98" s="41"/>
      <c r="B98" s="41"/>
      <c r="C98" s="42"/>
      <c r="D98" s="43"/>
      <c r="E98" s="43"/>
      <c r="F98" s="43"/>
      <c r="G98" s="43"/>
      <c r="H98" s="8" t="s">
        <v>22</v>
      </c>
      <c r="I98" s="9">
        <v>40</v>
      </c>
      <c r="J98" s="10"/>
      <c r="K98" s="11"/>
      <c r="L98" s="10"/>
      <c r="M98" s="11"/>
      <c r="N98" s="10"/>
      <c r="O98" s="12"/>
      <c r="P98" s="13"/>
    </row>
    <row r="99" spans="1:16" ht="18.75" customHeight="1">
      <c r="A99" s="41"/>
      <c r="B99" s="41"/>
      <c r="C99" s="42"/>
      <c r="D99" s="43"/>
      <c r="E99" s="43"/>
      <c r="F99" s="43"/>
      <c r="G99" s="43"/>
      <c r="H99" s="8" t="s">
        <v>23</v>
      </c>
      <c r="I99" s="9">
        <v>18</v>
      </c>
      <c r="J99" s="10"/>
      <c r="K99" s="11"/>
      <c r="L99" s="10"/>
      <c r="M99" s="11"/>
      <c r="N99" s="10"/>
      <c r="O99" s="12"/>
      <c r="P99" s="13"/>
    </row>
    <row r="100" spans="1:16" ht="18.75" customHeight="1">
      <c r="A100" s="41"/>
      <c r="B100" s="41"/>
      <c r="C100" s="42"/>
      <c r="D100" s="43"/>
      <c r="E100" s="43"/>
      <c r="F100" s="43"/>
      <c r="G100" s="43"/>
      <c r="H100" s="8" t="s">
        <v>24</v>
      </c>
      <c r="I100" s="9">
        <v>6</v>
      </c>
      <c r="J100" s="10"/>
      <c r="K100" s="11"/>
      <c r="L100" s="10"/>
      <c r="M100" s="11"/>
      <c r="N100" s="10"/>
      <c r="O100" s="12"/>
      <c r="P100" s="13"/>
    </row>
    <row r="101" spans="1:16" ht="18.75" customHeight="1">
      <c r="A101" s="40" t="s">
        <v>37</v>
      </c>
      <c r="B101" s="40"/>
      <c r="C101" s="40"/>
      <c r="D101" s="14"/>
      <c r="E101" s="14"/>
      <c r="F101" s="14"/>
      <c r="G101" s="15"/>
      <c r="H101" s="16" t="s">
        <v>25</v>
      </c>
      <c r="I101" s="17">
        <f t="shared" ref="I101" si="88">SUM(I96:I100)</f>
        <v>144</v>
      </c>
      <c r="J101" s="18">
        <f t="shared" ref="J101" si="89">SUM(J96:J100)</f>
        <v>0</v>
      </c>
      <c r="K101" s="19">
        <f t="shared" ref="K101" si="90">SUM(K96:K100)</f>
        <v>0</v>
      </c>
      <c r="L101" s="18">
        <f t="shared" ref="L101" si="91">SUM(L96:L100)</f>
        <v>0</v>
      </c>
      <c r="M101" s="19">
        <f t="shared" ref="M101" si="92">SUM(M96:M100)</f>
        <v>0</v>
      </c>
      <c r="N101" s="18">
        <f t="shared" ref="N101" si="93">SUM(N96:N100)</f>
        <v>0</v>
      </c>
      <c r="O101" s="19">
        <f t="shared" ref="O101" si="94">SUM(O96:O100)</f>
        <v>0</v>
      </c>
      <c r="P101" s="20">
        <f t="shared" ref="P101" si="95">SUM(P96:P100)</f>
        <v>0</v>
      </c>
    </row>
    <row r="102" spans="1:16" ht="18.75" customHeight="1">
      <c r="A102" s="41"/>
      <c r="B102" s="41" t="s">
        <v>31</v>
      </c>
      <c r="C102" s="42" t="s">
        <v>17</v>
      </c>
      <c r="D102" s="43" t="s">
        <v>39</v>
      </c>
      <c r="E102" s="43" t="s">
        <v>18</v>
      </c>
      <c r="F102" s="43" t="s">
        <v>38</v>
      </c>
      <c r="G102" s="43">
        <v>29</v>
      </c>
      <c r="H102" s="8" t="s">
        <v>20</v>
      </c>
      <c r="I102" s="9">
        <v>40</v>
      </c>
      <c r="J102" s="10"/>
      <c r="K102" s="11"/>
      <c r="L102" s="10"/>
      <c r="M102" s="11"/>
      <c r="N102" s="10"/>
      <c r="O102" s="12"/>
      <c r="P102" s="13"/>
    </row>
    <row r="103" spans="1:16" ht="18.75" customHeight="1">
      <c r="A103" s="41"/>
      <c r="B103" s="41"/>
      <c r="C103" s="42"/>
      <c r="D103" s="43"/>
      <c r="E103" s="43"/>
      <c r="F103" s="43"/>
      <c r="G103" s="43"/>
      <c r="H103" s="8" t="s">
        <v>21</v>
      </c>
      <c r="I103" s="9">
        <v>40</v>
      </c>
      <c r="J103" s="10"/>
      <c r="K103" s="11"/>
      <c r="L103" s="10"/>
      <c r="M103" s="11"/>
      <c r="N103" s="10"/>
      <c r="O103" s="12"/>
      <c r="P103" s="13"/>
    </row>
    <row r="104" spans="1:16" ht="18.75" customHeight="1">
      <c r="A104" s="41"/>
      <c r="B104" s="41"/>
      <c r="C104" s="42"/>
      <c r="D104" s="43"/>
      <c r="E104" s="43"/>
      <c r="F104" s="43"/>
      <c r="G104" s="43"/>
      <c r="H104" s="8" t="s">
        <v>22</v>
      </c>
      <c r="I104" s="9">
        <v>40</v>
      </c>
      <c r="J104" s="10"/>
      <c r="K104" s="11"/>
      <c r="L104" s="10"/>
      <c r="M104" s="11"/>
      <c r="N104" s="10"/>
      <c r="O104" s="12"/>
      <c r="P104" s="13"/>
    </row>
    <row r="105" spans="1:16" ht="18.75" customHeight="1">
      <c r="A105" s="41"/>
      <c r="B105" s="41"/>
      <c r="C105" s="42"/>
      <c r="D105" s="43"/>
      <c r="E105" s="43"/>
      <c r="F105" s="43"/>
      <c r="G105" s="43"/>
      <c r="H105" s="8" t="s">
        <v>23</v>
      </c>
      <c r="I105" s="9">
        <v>18</v>
      </c>
      <c r="J105" s="10"/>
      <c r="K105" s="11"/>
      <c r="L105" s="10"/>
      <c r="M105" s="11"/>
      <c r="N105" s="10"/>
      <c r="O105" s="12"/>
      <c r="P105" s="13"/>
    </row>
    <row r="106" spans="1:16" ht="18.75" customHeight="1">
      <c r="A106" s="41"/>
      <c r="B106" s="41"/>
      <c r="C106" s="42"/>
      <c r="D106" s="43"/>
      <c r="E106" s="43"/>
      <c r="F106" s="43"/>
      <c r="G106" s="43"/>
      <c r="H106" s="8" t="s">
        <v>24</v>
      </c>
      <c r="I106" s="9">
        <v>6</v>
      </c>
      <c r="J106" s="10"/>
      <c r="K106" s="11"/>
      <c r="L106" s="10"/>
      <c r="M106" s="11"/>
      <c r="N106" s="10"/>
      <c r="O106" s="12"/>
      <c r="P106" s="13"/>
    </row>
    <row r="107" spans="1:16" ht="18.75" customHeight="1">
      <c r="A107" s="40" t="s">
        <v>37</v>
      </c>
      <c r="B107" s="40"/>
      <c r="C107" s="40"/>
      <c r="D107" s="14"/>
      <c r="E107" s="14"/>
      <c r="F107" s="14"/>
      <c r="G107" s="15"/>
      <c r="H107" s="16" t="s">
        <v>25</v>
      </c>
      <c r="I107" s="17">
        <f t="shared" ref="I107" si="96">SUM(I102:I106)</f>
        <v>144</v>
      </c>
      <c r="J107" s="18">
        <f t="shared" ref="J107" si="97">SUM(J102:J106)</f>
        <v>0</v>
      </c>
      <c r="K107" s="19">
        <f t="shared" ref="K107" si="98">SUM(K102:K106)</f>
        <v>0</v>
      </c>
      <c r="L107" s="18">
        <f t="shared" ref="L107" si="99">SUM(L102:L106)</f>
        <v>0</v>
      </c>
      <c r="M107" s="19">
        <f t="shared" ref="M107" si="100">SUM(M102:M106)</f>
        <v>0</v>
      </c>
      <c r="N107" s="18">
        <f t="shared" ref="N107" si="101">SUM(N102:N106)</f>
        <v>0</v>
      </c>
      <c r="O107" s="19">
        <f t="shared" ref="O107" si="102">SUM(O102:O106)</f>
        <v>0</v>
      </c>
      <c r="P107" s="20">
        <f t="shared" ref="P107" si="103">SUM(P102:P106)</f>
        <v>0</v>
      </c>
    </row>
    <row r="108" spans="1:16" ht="27" customHeight="1">
      <c r="A108" s="44" t="s">
        <v>43</v>
      </c>
      <c r="B108" s="44"/>
      <c r="C108" s="44"/>
      <c r="D108" s="44"/>
      <c r="E108" s="44"/>
      <c r="F108" s="44"/>
      <c r="G108" s="44"/>
      <c r="H108" s="44"/>
      <c r="I108" s="21">
        <f>+SUM(I83,I89,I95,I101,I107)</f>
        <v>720</v>
      </c>
      <c r="J108" s="21">
        <f t="shared" ref="J108:P108" si="104">+SUM(J83,J89,J95,J101,J107)</f>
        <v>0</v>
      </c>
      <c r="K108" s="21">
        <f t="shared" si="104"/>
        <v>0</v>
      </c>
      <c r="L108" s="21">
        <f t="shared" si="104"/>
        <v>0</v>
      </c>
      <c r="M108" s="21">
        <f t="shared" si="104"/>
        <v>0</v>
      </c>
      <c r="N108" s="21">
        <f t="shared" si="104"/>
        <v>0</v>
      </c>
      <c r="O108" s="21">
        <f t="shared" si="104"/>
        <v>0</v>
      </c>
      <c r="P108" s="21">
        <f t="shared" si="104"/>
        <v>0</v>
      </c>
    </row>
    <row r="109" spans="1:16" ht="18.75" customHeight="1">
      <c r="A109" s="41"/>
      <c r="B109" s="41" t="s">
        <v>31</v>
      </c>
      <c r="C109" s="42" t="s">
        <v>17</v>
      </c>
      <c r="D109" s="43" t="s">
        <v>48</v>
      </c>
      <c r="E109" s="43" t="s">
        <v>18</v>
      </c>
      <c r="F109" s="43" t="s">
        <v>19</v>
      </c>
      <c r="G109" s="43">
        <v>29</v>
      </c>
      <c r="H109" s="8" t="s">
        <v>20</v>
      </c>
      <c r="I109" s="9">
        <v>30</v>
      </c>
      <c r="J109" s="10"/>
      <c r="K109" s="11"/>
      <c r="L109" s="10"/>
      <c r="M109" s="11"/>
      <c r="N109" s="10"/>
      <c r="O109" s="12"/>
      <c r="P109" s="13"/>
    </row>
    <row r="110" spans="1:16" ht="18.75" customHeight="1">
      <c r="A110" s="41"/>
      <c r="B110" s="41"/>
      <c r="C110" s="42"/>
      <c r="D110" s="43"/>
      <c r="E110" s="43"/>
      <c r="F110" s="43"/>
      <c r="G110" s="43"/>
      <c r="H110" s="8" t="s">
        <v>21</v>
      </c>
      <c r="I110" s="9">
        <v>66</v>
      </c>
      <c r="J110" s="10"/>
      <c r="K110" s="11"/>
      <c r="L110" s="10"/>
      <c r="M110" s="11"/>
      <c r="N110" s="10"/>
      <c r="O110" s="12"/>
      <c r="P110" s="13"/>
    </row>
    <row r="111" spans="1:16" ht="18.75" customHeight="1">
      <c r="A111" s="41"/>
      <c r="B111" s="41"/>
      <c r="C111" s="42"/>
      <c r="D111" s="43"/>
      <c r="E111" s="43"/>
      <c r="F111" s="43"/>
      <c r="G111" s="43"/>
      <c r="H111" s="8" t="s">
        <v>22</v>
      </c>
      <c r="I111" s="9">
        <v>70</v>
      </c>
      <c r="J111" s="10"/>
      <c r="K111" s="11"/>
      <c r="L111" s="10"/>
      <c r="M111" s="11"/>
      <c r="N111" s="10"/>
      <c r="O111" s="12"/>
      <c r="P111" s="13"/>
    </row>
    <row r="112" spans="1:16" ht="18.75" customHeight="1">
      <c r="A112" s="41"/>
      <c r="B112" s="41"/>
      <c r="C112" s="42"/>
      <c r="D112" s="43"/>
      <c r="E112" s="43"/>
      <c r="F112" s="43"/>
      <c r="G112" s="43"/>
      <c r="H112" s="8" t="s">
        <v>23</v>
      </c>
      <c r="I112" s="9">
        <v>36</v>
      </c>
      <c r="J112" s="10"/>
      <c r="K112" s="11"/>
      <c r="L112" s="10"/>
      <c r="M112" s="11"/>
      <c r="N112" s="10"/>
      <c r="O112" s="12"/>
      <c r="P112" s="13"/>
    </row>
    <row r="113" spans="1:16" ht="18.75" customHeight="1">
      <c r="A113" s="41"/>
      <c r="B113" s="41"/>
      <c r="C113" s="42"/>
      <c r="D113" s="43"/>
      <c r="E113" s="43"/>
      <c r="F113" s="43"/>
      <c r="G113" s="43"/>
      <c r="H113" s="8" t="s">
        <v>24</v>
      </c>
      <c r="I113" s="9">
        <v>0</v>
      </c>
      <c r="J113" s="10"/>
      <c r="K113" s="11"/>
      <c r="L113" s="10"/>
      <c r="M113" s="11"/>
      <c r="N113" s="10"/>
      <c r="O113" s="12"/>
      <c r="P113" s="13"/>
    </row>
    <row r="114" spans="1:16" ht="18.75" customHeight="1">
      <c r="A114" s="40" t="s">
        <v>37</v>
      </c>
      <c r="B114" s="40"/>
      <c r="C114" s="40"/>
      <c r="D114" s="14"/>
      <c r="E114" s="14"/>
      <c r="F114" s="14"/>
      <c r="G114" s="15"/>
      <c r="H114" s="16" t="s">
        <v>25</v>
      </c>
      <c r="I114" s="17">
        <f t="shared" ref="I114" si="105">SUM(I109:I113)</f>
        <v>202</v>
      </c>
      <c r="J114" s="18">
        <f t="shared" ref="J114" si="106">SUM(J109:J113)</f>
        <v>0</v>
      </c>
      <c r="K114" s="19">
        <f t="shared" ref="K114" si="107">SUM(K109:K113)</f>
        <v>0</v>
      </c>
      <c r="L114" s="18">
        <f t="shared" ref="L114" si="108">SUM(L109:L113)</f>
        <v>0</v>
      </c>
      <c r="M114" s="19">
        <f t="shared" ref="M114" si="109">SUM(M109:M113)</f>
        <v>0</v>
      </c>
      <c r="N114" s="18">
        <f t="shared" ref="N114" si="110">SUM(N109:N113)</f>
        <v>0</v>
      </c>
      <c r="O114" s="19">
        <f t="shared" ref="O114" si="111">SUM(O109:O113)</f>
        <v>0</v>
      </c>
      <c r="P114" s="20">
        <f t="shared" ref="P114" si="112">SUM(P109:P113)</f>
        <v>0</v>
      </c>
    </row>
    <row r="115" spans="1:16" ht="18.75" customHeight="1">
      <c r="A115" s="41"/>
      <c r="B115" s="41" t="s">
        <v>31</v>
      </c>
      <c r="C115" s="42" t="s">
        <v>17</v>
      </c>
      <c r="D115" s="43" t="s">
        <v>48</v>
      </c>
      <c r="E115" s="43" t="s">
        <v>18</v>
      </c>
      <c r="F115" s="43" t="s">
        <v>33</v>
      </c>
      <c r="G115" s="43">
        <v>29</v>
      </c>
      <c r="H115" s="8" t="s">
        <v>20</v>
      </c>
      <c r="I115" s="9">
        <v>28</v>
      </c>
      <c r="J115" s="10"/>
      <c r="K115" s="11"/>
      <c r="L115" s="10"/>
      <c r="M115" s="11"/>
      <c r="N115" s="10"/>
      <c r="O115" s="12"/>
      <c r="P115" s="13"/>
    </row>
    <row r="116" spans="1:16" ht="18.75" customHeight="1">
      <c r="A116" s="41"/>
      <c r="B116" s="41"/>
      <c r="C116" s="42"/>
      <c r="D116" s="43"/>
      <c r="E116" s="43"/>
      <c r="F116" s="43"/>
      <c r="G116" s="43"/>
      <c r="H116" s="8" t="s">
        <v>21</v>
      </c>
      <c r="I116" s="9">
        <v>56</v>
      </c>
      <c r="J116" s="10"/>
      <c r="K116" s="11"/>
      <c r="L116" s="10"/>
      <c r="M116" s="11"/>
      <c r="N116" s="10"/>
      <c r="O116" s="12"/>
      <c r="P116" s="13"/>
    </row>
    <row r="117" spans="1:16" ht="18.75" customHeight="1">
      <c r="A117" s="41"/>
      <c r="B117" s="41"/>
      <c r="C117" s="42"/>
      <c r="D117" s="43"/>
      <c r="E117" s="43"/>
      <c r="F117" s="43"/>
      <c r="G117" s="43"/>
      <c r="H117" s="8" t="s">
        <v>22</v>
      </c>
      <c r="I117" s="9">
        <v>55</v>
      </c>
      <c r="J117" s="10"/>
      <c r="K117" s="11"/>
      <c r="L117" s="10"/>
      <c r="M117" s="11"/>
      <c r="N117" s="10"/>
      <c r="O117" s="12"/>
      <c r="P117" s="13"/>
    </row>
    <row r="118" spans="1:16" ht="18.75" customHeight="1">
      <c r="A118" s="41"/>
      <c r="B118" s="41"/>
      <c r="C118" s="42"/>
      <c r="D118" s="43"/>
      <c r="E118" s="43"/>
      <c r="F118" s="43"/>
      <c r="G118" s="43"/>
      <c r="H118" s="8" t="s">
        <v>23</v>
      </c>
      <c r="I118" s="9">
        <v>28</v>
      </c>
      <c r="J118" s="10"/>
      <c r="K118" s="11"/>
      <c r="L118" s="10"/>
      <c r="M118" s="11"/>
      <c r="N118" s="10"/>
      <c r="O118" s="12"/>
      <c r="P118" s="13"/>
    </row>
    <row r="119" spans="1:16" ht="18.75" customHeight="1">
      <c r="A119" s="41"/>
      <c r="B119" s="41"/>
      <c r="C119" s="42"/>
      <c r="D119" s="43"/>
      <c r="E119" s="43"/>
      <c r="F119" s="43"/>
      <c r="G119" s="43"/>
      <c r="H119" s="8" t="s">
        <v>24</v>
      </c>
      <c r="I119" s="9">
        <v>0</v>
      </c>
      <c r="J119" s="10"/>
      <c r="K119" s="11"/>
      <c r="L119" s="10"/>
      <c r="M119" s="11"/>
      <c r="N119" s="10"/>
      <c r="O119" s="12"/>
      <c r="P119" s="13"/>
    </row>
    <row r="120" spans="1:16" ht="18.75" customHeight="1">
      <c r="A120" s="40" t="s">
        <v>37</v>
      </c>
      <c r="B120" s="40"/>
      <c r="C120" s="40"/>
      <c r="D120" s="14"/>
      <c r="E120" s="14"/>
      <c r="F120" s="14"/>
      <c r="G120" s="15"/>
      <c r="H120" s="16" t="s">
        <v>25</v>
      </c>
      <c r="I120" s="17">
        <f t="shared" ref="I120" si="113">SUM(I115:I119)</f>
        <v>167</v>
      </c>
      <c r="J120" s="18">
        <f t="shared" ref="J120" si="114">SUM(J115:J119)</f>
        <v>0</v>
      </c>
      <c r="K120" s="19">
        <f t="shared" ref="K120" si="115">SUM(K115:K119)</f>
        <v>0</v>
      </c>
      <c r="L120" s="18">
        <f t="shared" ref="L120" si="116">SUM(L115:L119)</f>
        <v>0</v>
      </c>
      <c r="M120" s="19">
        <f t="shared" ref="M120" si="117">SUM(M115:M119)</f>
        <v>0</v>
      </c>
      <c r="N120" s="18">
        <f t="shared" ref="N120" si="118">SUM(N115:N119)</f>
        <v>0</v>
      </c>
      <c r="O120" s="19">
        <f t="shared" ref="O120" si="119">SUM(O115:O119)</f>
        <v>0</v>
      </c>
      <c r="P120" s="20">
        <f t="shared" ref="P120" si="120">SUM(P115:P119)</f>
        <v>0</v>
      </c>
    </row>
    <row r="121" spans="1:16" ht="18.75" customHeight="1">
      <c r="A121" s="41"/>
      <c r="B121" s="41" t="s">
        <v>31</v>
      </c>
      <c r="C121" s="42" t="s">
        <v>17</v>
      </c>
      <c r="D121" s="43" t="s">
        <v>48</v>
      </c>
      <c r="E121" s="43" t="s">
        <v>18</v>
      </c>
      <c r="F121" s="43" t="s">
        <v>34</v>
      </c>
      <c r="G121" s="43">
        <v>29</v>
      </c>
      <c r="H121" s="8" t="s">
        <v>20</v>
      </c>
      <c r="I121" s="9">
        <v>28</v>
      </c>
      <c r="J121" s="10"/>
      <c r="K121" s="11"/>
      <c r="L121" s="10"/>
      <c r="M121" s="11"/>
      <c r="N121" s="10"/>
      <c r="O121" s="12"/>
      <c r="P121" s="13"/>
    </row>
    <row r="122" spans="1:16" ht="18.75" customHeight="1">
      <c r="A122" s="41"/>
      <c r="B122" s="41"/>
      <c r="C122" s="42"/>
      <c r="D122" s="43"/>
      <c r="E122" s="43"/>
      <c r="F122" s="43"/>
      <c r="G122" s="43"/>
      <c r="H122" s="8" t="s">
        <v>21</v>
      </c>
      <c r="I122" s="9">
        <v>54</v>
      </c>
      <c r="J122" s="10"/>
      <c r="K122" s="11"/>
      <c r="L122" s="10"/>
      <c r="M122" s="11"/>
      <c r="N122" s="10"/>
      <c r="O122" s="12"/>
      <c r="P122" s="13"/>
    </row>
    <row r="123" spans="1:16" ht="18.75" customHeight="1">
      <c r="A123" s="41"/>
      <c r="B123" s="41"/>
      <c r="C123" s="42"/>
      <c r="D123" s="43"/>
      <c r="E123" s="43"/>
      <c r="F123" s="43"/>
      <c r="G123" s="43"/>
      <c r="H123" s="8" t="s">
        <v>22</v>
      </c>
      <c r="I123" s="9">
        <v>53</v>
      </c>
      <c r="J123" s="10"/>
      <c r="K123" s="11"/>
      <c r="L123" s="10"/>
      <c r="M123" s="11"/>
      <c r="N123" s="10"/>
      <c r="O123" s="12"/>
      <c r="P123" s="13"/>
    </row>
    <row r="124" spans="1:16" ht="18.75" customHeight="1">
      <c r="A124" s="41"/>
      <c r="B124" s="41"/>
      <c r="C124" s="42"/>
      <c r="D124" s="43"/>
      <c r="E124" s="43"/>
      <c r="F124" s="43"/>
      <c r="G124" s="43"/>
      <c r="H124" s="8" t="s">
        <v>23</v>
      </c>
      <c r="I124" s="9">
        <v>28</v>
      </c>
      <c r="J124" s="10"/>
      <c r="K124" s="11"/>
      <c r="L124" s="10"/>
      <c r="M124" s="11"/>
      <c r="N124" s="10"/>
      <c r="O124" s="12"/>
      <c r="P124" s="13"/>
    </row>
    <row r="125" spans="1:16" ht="18.75" customHeight="1">
      <c r="A125" s="41"/>
      <c r="B125" s="41"/>
      <c r="C125" s="42"/>
      <c r="D125" s="43"/>
      <c r="E125" s="43"/>
      <c r="F125" s="43"/>
      <c r="G125" s="43"/>
      <c r="H125" s="8" t="s">
        <v>24</v>
      </c>
      <c r="I125" s="9">
        <v>0</v>
      </c>
      <c r="J125" s="10"/>
      <c r="K125" s="11"/>
      <c r="L125" s="10"/>
      <c r="M125" s="11"/>
      <c r="N125" s="10"/>
      <c r="O125" s="12"/>
      <c r="P125" s="13"/>
    </row>
    <row r="126" spans="1:16" ht="18.75" customHeight="1">
      <c r="A126" s="40" t="s">
        <v>37</v>
      </c>
      <c r="B126" s="40"/>
      <c r="C126" s="40"/>
      <c r="D126" s="14"/>
      <c r="E126" s="14"/>
      <c r="F126" s="14"/>
      <c r="G126" s="15"/>
      <c r="H126" s="16" t="s">
        <v>25</v>
      </c>
      <c r="I126" s="17">
        <f t="shared" ref="I126" si="121">SUM(I121:I125)</f>
        <v>163</v>
      </c>
      <c r="J126" s="18">
        <f t="shared" ref="J126" si="122">SUM(J121:J125)</f>
        <v>0</v>
      </c>
      <c r="K126" s="19">
        <f t="shared" ref="K126" si="123">SUM(K121:K125)</f>
        <v>0</v>
      </c>
      <c r="L126" s="18">
        <f t="shared" ref="L126" si="124">SUM(L121:L125)</f>
        <v>0</v>
      </c>
      <c r="M126" s="19">
        <f t="shared" ref="M126" si="125">SUM(M121:M125)</f>
        <v>0</v>
      </c>
      <c r="N126" s="18">
        <f t="shared" ref="N126" si="126">SUM(N121:N125)</f>
        <v>0</v>
      </c>
      <c r="O126" s="19">
        <f t="shared" ref="O126" si="127">SUM(O121:O125)</f>
        <v>0</v>
      </c>
      <c r="P126" s="20">
        <f t="shared" ref="P126" si="128">SUM(P121:P125)</f>
        <v>0</v>
      </c>
    </row>
    <row r="127" spans="1:16" ht="18.75" customHeight="1">
      <c r="A127" s="41"/>
      <c r="B127" s="41" t="s">
        <v>31</v>
      </c>
      <c r="C127" s="42" t="s">
        <v>17</v>
      </c>
      <c r="D127" s="43" t="s">
        <v>48</v>
      </c>
      <c r="E127" s="43" t="s">
        <v>18</v>
      </c>
      <c r="F127" s="43" t="s">
        <v>35</v>
      </c>
      <c r="G127" s="43">
        <v>29</v>
      </c>
      <c r="H127" s="8" t="s">
        <v>20</v>
      </c>
      <c r="I127" s="9">
        <v>7</v>
      </c>
      <c r="J127" s="10"/>
      <c r="K127" s="11"/>
      <c r="L127" s="10"/>
      <c r="M127" s="11"/>
      <c r="N127" s="10"/>
      <c r="O127" s="12"/>
      <c r="P127" s="13"/>
    </row>
    <row r="128" spans="1:16" ht="18.75" customHeight="1">
      <c r="A128" s="41"/>
      <c r="B128" s="41"/>
      <c r="C128" s="42"/>
      <c r="D128" s="43"/>
      <c r="E128" s="43"/>
      <c r="F128" s="43"/>
      <c r="G128" s="43"/>
      <c r="H128" s="8" t="s">
        <v>21</v>
      </c>
      <c r="I128" s="9">
        <v>13</v>
      </c>
      <c r="J128" s="10"/>
      <c r="K128" s="11"/>
      <c r="L128" s="10"/>
      <c r="M128" s="11"/>
      <c r="N128" s="10"/>
      <c r="O128" s="12"/>
      <c r="P128" s="13"/>
    </row>
    <row r="129" spans="1:16" ht="18.75" customHeight="1">
      <c r="A129" s="41"/>
      <c r="B129" s="41"/>
      <c r="C129" s="42"/>
      <c r="D129" s="43"/>
      <c r="E129" s="43"/>
      <c r="F129" s="43"/>
      <c r="G129" s="43"/>
      <c r="H129" s="8" t="s">
        <v>22</v>
      </c>
      <c r="I129" s="9">
        <v>13</v>
      </c>
      <c r="J129" s="10"/>
      <c r="K129" s="11"/>
      <c r="L129" s="10"/>
      <c r="M129" s="11"/>
      <c r="N129" s="10"/>
      <c r="O129" s="12"/>
      <c r="P129" s="13"/>
    </row>
    <row r="130" spans="1:16" ht="18.75" customHeight="1">
      <c r="A130" s="41"/>
      <c r="B130" s="41"/>
      <c r="C130" s="42"/>
      <c r="D130" s="43"/>
      <c r="E130" s="43"/>
      <c r="F130" s="43"/>
      <c r="G130" s="43"/>
      <c r="H130" s="8" t="s">
        <v>23</v>
      </c>
      <c r="I130" s="9">
        <v>7</v>
      </c>
      <c r="J130" s="10"/>
      <c r="K130" s="11"/>
      <c r="L130" s="10"/>
      <c r="M130" s="11"/>
      <c r="N130" s="10"/>
      <c r="O130" s="12"/>
      <c r="P130" s="13"/>
    </row>
    <row r="131" spans="1:16" ht="18.75" customHeight="1">
      <c r="A131" s="41"/>
      <c r="B131" s="41"/>
      <c r="C131" s="42"/>
      <c r="D131" s="43"/>
      <c r="E131" s="43"/>
      <c r="F131" s="43"/>
      <c r="G131" s="43"/>
      <c r="H131" s="8" t="s">
        <v>24</v>
      </c>
      <c r="I131" s="9">
        <v>0</v>
      </c>
      <c r="J131" s="10"/>
      <c r="K131" s="11"/>
      <c r="L131" s="10"/>
      <c r="M131" s="11"/>
      <c r="N131" s="10"/>
      <c r="O131" s="12"/>
      <c r="P131" s="13"/>
    </row>
    <row r="132" spans="1:16" ht="18.75" customHeight="1">
      <c r="A132" s="40" t="s">
        <v>37</v>
      </c>
      <c r="B132" s="40"/>
      <c r="C132" s="40"/>
      <c r="D132" s="14"/>
      <c r="E132" s="14"/>
      <c r="F132" s="14"/>
      <c r="G132" s="15"/>
      <c r="H132" s="16" t="s">
        <v>25</v>
      </c>
      <c r="I132" s="17">
        <f t="shared" ref="I132" si="129">SUM(I127:I131)</f>
        <v>40</v>
      </c>
      <c r="J132" s="18">
        <f t="shared" ref="J132" si="130">SUM(J127:J131)</f>
        <v>0</v>
      </c>
      <c r="K132" s="19">
        <f t="shared" ref="K132" si="131">SUM(K127:K131)</f>
        <v>0</v>
      </c>
      <c r="L132" s="18">
        <f t="shared" ref="L132" si="132">SUM(L127:L131)</f>
        <v>0</v>
      </c>
      <c r="M132" s="19">
        <f t="shared" ref="M132" si="133">SUM(M127:M131)</f>
        <v>0</v>
      </c>
      <c r="N132" s="18">
        <f t="shared" ref="N132" si="134">SUM(N127:N131)</f>
        <v>0</v>
      </c>
      <c r="O132" s="19">
        <f t="shared" ref="O132" si="135">SUM(O127:O131)</f>
        <v>0</v>
      </c>
      <c r="P132" s="20">
        <f t="shared" ref="P132" si="136">SUM(P127:P131)</f>
        <v>0</v>
      </c>
    </row>
    <row r="133" spans="1:16" ht="18.75" customHeight="1">
      <c r="A133" s="41"/>
      <c r="B133" s="41" t="s">
        <v>31</v>
      </c>
      <c r="C133" s="42" t="s">
        <v>17</v>
      </c>
      <c r="D133" s="43" t="s">
        <v>48</v>
      </c>
      <c r="E133" s="43" t="s">
        <v>18</v>
      </c>
      <c r="F133" s="43" t="s">
        <v>36</v>
      </c>
      <c r="G133" s="43">
        <v>29</v>
      </c>
      <c r="H133" s="8" t="s">
        <v>20</v>
      </c>
      <c r="I133" s="9">
        <v>23</v>
      </c>
      <c r="J133" s="10"/>
      <c r="K133" s="11"/>
      <c r="L133" s="10"/>
      <c r="M133" s="11"/>
      <c r="N133" s="10"/>
      <c r="O133" s="12"/>
      <c r="P133" s="13"/>
    </row>
    <row r="134" spans="1:16" ht="18.75" customHeight="1">
      <c r="A134" s="41"/>
      <c r="B134" s="41"/>
      <c r="C134" s="42"/>
      <c r="D134" s="43"/>
      <c r="E134" s="43"/>
      <c r="F134" s="43"/>
      <c r="G134" s="43"/>
      <c r="H134" s="8" t="s">
        <v>21</v>
      </c>
      <c r="I134" s="9">
        <v>46</v>
      </c>
      <c r="J134" s="10"/>
      <c r="K134" s="11"/>
      <c r="L134" s="10"/>
      <c r="M134" s="11"/>
      <c r="N134" s="10"/>
      <c r="O134" s="12"/>
      <c r="P134" s="13"/>
    </row>
    <row r="135" spans="1:16" ht="18.75" customHeight="1">
      <c r="A135" s="41"/>
      <c r="B135" s="41"/>
      <c r="C135" s="42"/>
      <c r="D135" s="43"/>
      <c r="E135" s="43"/>
      <c r="F135" s="43"/>
      <c r="G135" s="43"/>
      <c r="H135" s="8" t="s">
        <v>22</v>
      </c>
      <c r="I135" s="9">
        <v>45</v>
      </c>
      <c r="J135" s="10"/>
      <c r="K135" s="11"/>
      <c r="L135" s="10"/>
      <c r="M135" s="11"/>
      <c r="N135" s="10"/>
      <c r="O135" s="12"/>
      <c r="P135" s="13"/>
    </row>
    <row r="136" spans="1:16" ht="18.75" customHeight="1">
      <c r="A136" s="41"/>
      <c r="B136" s="41"/>
      <c r="C136" s="42"/>
      <c r="D136" s="43"/>
      <c r="E136" s="43"/>
      <c r="F136" s="43"/>
      <c r="G136" s="43"/>
      <c r="H136" s="8" t="s">
        <v>23</v>
      </c>
      <c r="I136" s="9">
        <v>23</v>
      </c>
      <c r="J136" s="10"/>
      <c r="K136" s="11"/>
      <c r="L136" s="10"/>
      <c r="M136" s="11"/>
      <c r="N136" s="10"/>
      <c r="O136" s="12"/>
      <c r="P136" s="13"/>
    </row>
    <row r="137" spans="1:16" ht="18.75" customHeight="1">
      <c r="A137" s="41"/>
      <c r="B137" s="41"/>
      <c r="C137" s="42"/>
      <c r="D137" s="43"/>
      <c r="E137" s="43"/>
      <c r="F137" s="43"/>
      <c r="G137" s="43"/>
      <c r="H137" s="8" t="s">
        <v>24</v>
      </c>
      <c r="I137" s="9">
        <v>0</v>
      </c>
      <c r="J137" s="10"/>
      <c r="K137" s="11"/>
      <c r="L137" s="10"/>
      <c r="M137" s="11"/>
      <c r="N137" s="10"/>
      <c r="O137" s="12"/>
      <c r="P137" s="13"/>
    </row>
    <row r="138" spans="1:16" ht="18.75" customHeight="1">
      <c r="A138" s="40" t="s">
        <v>37</v>
      </c>
      <c r="B138" s="40"/>
      <c r="C138" s="40"/>
      <c r="D138" s="14"/>
      <c r="E138" s="14"/>
      <c r="F138" s="14"/>
      <c r="G138" s="15"/>
      <c r="H138" s="16" t="s">
        <v>25</v>
      </c>
      <c r="I138" s="17">
        <f t="shared" ref="I138" si="137">SUM(I133:I137)</f>
        <v>137</v>
      </c>
      <c r="J138" s="18">
        <f t="shared" ref="J138" si="138">SUM(J133:J137)</f>
        <v>0</v>
      </c>
      <c r="K138" s="19">
        <f t="shared" ref="K138" si="139">SUM(K133:K137)</f>
        <v>0</v>
      </c>
      <c r="L138" s="18">
        <f t="shared" ref="L138" si="140">SUM(L133:L137)</f>
        <v>0</v>
      </c>
      <c r="M138" s="19">
        <f t="shared" ref="M138" si="141">SUM(M133:M137)</f>
        <v>0</v>
      </c>
      <c r="N138" s="18">
        <f t="shared" ref="N138" si="142">SUM(N133:N137)</f>
        <v>0</v>
      </c>
      <c r="O138" s="19">
        <f t="shared" ref="O138" si="143">SUM(O133:O137)</f>
        <v>0</v>
      </c>
      <c r="P138" s="20">
        <f t="shared" ref="P138" si="144">SUM(P133:P137)</f>
        <v>0</v>
      </c>
    </row>
    <row r="139" spans="1:16" ht="18.75" customHeight="1">
      <c r="A139" s="41"/>
      <c r="B139" s="41" t="s">
        <v>31</v>
      </c>
      <c r="C139" s="42" t="s">
        <v>17</v>
      </c>
      <c r="D139" s="43" t="s">
        <v>48</v>
      </c>
      <c r="E139" s="43" t="s">
        <v>18</v>
      </c>
      <c r="F139" s="43" t="s">
        <v>38</v>
      </c>
      <c r="G139" s="43">
        <v>29</v>
      </c>
      <c r="H139" s="8" t="s">
        <v>20</v>
      </c>
      <c r="I139" s="9">
        <v>23</v>
      </c>
      <c r="J139" s="10"/>
      <c r="K139" s="11"/>
      <c r="L139" s="10"/>
      <c r="M139" s="11"/>
      <c r="N139" s="10"/>
      <c r="O139" s="12"/>
      <c r="P139" s="13"/>
    </row>
    <row r="140" spans="1:16" ht="18.75" customHeight="1">
      <c r="A140" s="41"/>
      <c r="B140" s="41"/>
      <c r="C140" s="42"/>
      <c r="D140" s="43"/>
      <c r="E140" s="43"/>
      <c r="F140" s="43"/>
      <c r="G140" s="43"/>
      <c r="H140" s="8" t="s">
        <v>21</v>
      </c>
      <c r="I140" s="9">
        <v>51</v>
      </c>
      <c r="J140" s="10"/>
      <c r="K140" s="11"/>
      <c r="L140" s="10"/>
      <c r="M140" s="11"/>
      <c r="N140" s="10"/>
      <c r="O140" s="12"/>
      <c r="P140" s="13"/>
    </row>
    <row r="141" spans="1:16" ht="18.75" customHeight="1">
      <c r="A141" s="41"/>
      <c r="B141" s="41"/>
      <c r="C141" s="42"/>
      <c r="D141" s="43"/>
      <c r="E141" s="43"/>
      <c r="F141" s="43"/>
      <c r="G141" s="43"/>
      <c r="H141" s="8" t="s">
        <v>22</v>
      </c>
      <c r="I141" s="9">
        <v>55</v>
      </c>
      <c r="J141" s="10"/>
      <c r="K141" s="11"/>
      <c r="L141" s="10"/>
      <c r="M141" s="11"/>
      <c r="N141" s="10"/>
      <c r="O141" s="12"/>
      <c r="P141" s="13"/>
    </row>
    <row r="142" spans="1:16" ht="18.75" customHeight="1">
      <c r="A142" s="41"/>
      <c r="B142" s="41"/>
      <c r="C142" s="42"/>
      <c r="D142" s="43"/>
      <c r="E142" s="43"/>
      <c r="F142" s="43"/>
      <c r="G142" s="43"/>
      <c r="H142" s="8" t="s">
        <v>23</v>
      </c>
      <c r="I142" s="9">
        <v>28</v>
      </c>
      <c r="J142" s="10"/>
      <c r="K142" s="11"/>
      <c r="L142" s="10"/>
      <c r="M142" s="11"/>
      <c r="N142" s="10"/>
      <c r="O142" s="12"/>
      <c r="P142" s="13"/>
    </row>
    <row r="143" spans="1:16" ht="18.75" customHeight="1">
      <c r="A143" s="41"/>
      <c r="B143" s="41"/>
      <c r="C143" s="42"/>
      <c r="D143" s="43"/>
      <c r="E143" s="43"/>
      <c r="F143" s="43"/>
      <c r="G143" s="43"/>
      <c r="H143" s="8" t="s">
        <v>24</v>
      </c>
      <c r="I143" s="9">
        <v>0</v>
      </c>
      <c r="J143" s="10"/>
      <c r="K143" s="11"/>
      <c r="L143" s="10"/>
      <c r="M143" s="11"/>
      <c r="N143" s="10"/>
      <c r="O143" s="12"/>
      <c r="P143" s="13"/>
    </row>
    <row r="144" spans="1:16" ht="18.75" customHeight="1">
      <c r="A144" s="40" t="s">
        <v>37</v>
      </c>
      <c r="B144" s="40"/>
      <c r="C144" s="40"/>
      <c r="D144" s="14"/>
      <c r="E144" s="14"/>
      <c r="F144" s="14"/>
      <c r="G144" s="15"/>
      <c r="H144" s="16" t="s">
        <v>25</v>
      </c>
      <c r="I144" s="17">
        <f t="shared" ref="I144" si="145">SUM(I139:I143)</f>
        <v>157</v>
      </c>
      <c r="J144" s="18">
        <f t="shared" ref="J144" si="146">SUM(J139:J143)</f>
        <v>0</v>
      </c>
      <c r="K144" s="19">
        <f t="shared" ref="K144" si="147">SUM(K139:K143)</f>
        <v>0</v>
      </c>
      <c r="L144" s="18">
        <f t="shared" ref="L144" si="148">SUM(L139:L143)</f>
        <v>0</v>
      </c>
      <c r="M144" s="19">
        <f t="shared" ref="M144" si="149">SUM(M139:M143)</f>
        <v>0</v>
      </c>
      <c r="N144" s="18">
        <f t="shared" ref="N144" si="150">SUM(N139:N143)</f>
        <v>0</v>
      </c>
      <c r="O144" s="19">
        <f t="shared" ref="O144" si="151">SUM(O139:O143)</f>
        <v>0</v>
      </c>
      <c r="P144" s="20">
        <f t="shared" ref="P144" si="152">SUM(P139:P143)</f>
        <v>0</v>
      </c>
    </row>
    <row r="145" spans="1:16" ht="27" customHeight="1">
      <c r="A145" s="44" t="s">
        <v>49</v>
      </c>
      <c r="B145" s="44"/>
      <c r="C145" s="44"/>
      <c r="D145" s="44"/>
      <c r="E145" s="44"/>
      <c r="F145" s="44"/>
      <c r="G145" s="44"/>
      <c r="H145" s="44"/>
      <c r="I145" s="21">
        <f>+I144+I132+I126+I120+I138+I114</f>
        <v>866</v>
      </c>
      <c r="J145" s="21">
        <f t="shared" ref="J145" si="153">+J144+J132+J126+J120+J138+J114</f>
        <v>0</v>
      </c>
      <c r="K145" s="21">
        <f t="shared" ref="K145" si="154">+K144+K132+K126+K120+K138+K114</f>
        <v>0</v>
      </c>
      <c r="L145" s="21">
        <f t="shared" ref="L145" si="155">+L144+L132+L126+L120+L138+L114</f>
        <v>0</v>
      </c>
      <c r="M145" s="21">
        <f t="shared" ref="M145" si="156">+M144+M132+M126+M120+M138+M114</f>
        <v>0</v>
      </c>
      <c r="N145" s="21">
        <f t="shared" ref="N145" si="157">+N144+N132+N126+N120+N138+N114</f>
        <v>0</v>
      </c>
      <c r="O145" s="21">
        <f t="shared" ref="O145" si="158">+O144+O132+O126+O120+O138+O114</f>
        <v>0</v>
      </c>
      <c r="P145" s="21">
        <f t="shared" ref="P145" si="159">+P144+P132+P126+P120+P138+P114</f>
        <v>0</v>
      </c>
    </row>
    <row r="146" spans="1:16" ht="18.75" customHeight="1">
      <c r="A146" s="41"/>
      <c r="B146" s="41" t="s">
        <v>31</v>
      </c>
      <c r="C146" s="42" t="s">
        <v>17</v>
      </c>
      <c r="D146" s="43" t="s">
        <v>50</v>
      </c>
      <c r="E146" s="43" t="s">
        <v>18</v>
      </c>
      <c r="F146" s="43" t="s">
        <v>19</v>
      </c>
      <c r="G146" s="43">
        <v>29</v>
      </c>
      <c r="H146" s="8" t="s">
        <v>20</v>
      </c>
      <c r="I146" s="9">
        <v>18</v>
      </c>
      <c r="J146" s="10"/>
      <c r="K146" s="11"/>
      <c r="L146" s="10"/>
      <c r="M146" s="11"/>
      <c r="N146" s="10"/>
      <c r="O146" s="12"/>
      <c r="P146" s="13"/>
    </row>
    <row r="147" spans="1:16" ht="18.75" customHeight="1">
      <c r="A147" s="41"/>
      <c r="B147" s="41"/>
      <c r="C147" s="42"/>
      <c r="D147" s="43"/>
      <c r="E147" s="43"/>
      <c r="F147" s="43"/>
      <c r="G147" s="43"/>
      <c r="H147" s="8" t="s">
        <v>21</v>
      </c>
      <c r="I147" s="9">
        <v>30</v>
      </c>
      <c r="J147" s="10"/>
      <c r="K147" s="11"/>
      <c r="L147" s="10"/>
      <c r="M147" s="11"/>
      <c r="N147" s="10"/>
      <c r="O147" s="12"/>
      <c r="P147" s="13"/>
    </row>
    <row r="148" spans="1:16" ht="18.75" customHeight="1">
      <c r="A148" s="41"/>
      <c r="B148" s="41"/>
      <c r="C148" s="42"/>
      <c r="D148" s="43"/>
      <c r="E148" s="43"/>
      <c r="F148" s="43"/>
      <c r="G148" s="43"/>
      <c r="H148" s="8" t="s">
        <v>22</v>
      </c>
      <c r="I148" s="9">
        <v>30</v>
      </c>
      <c r="J148" s="10"/>
      <c r="K148" s="11"/>
      <c r="L148" s="10"/>
      <c r="M148" s="11"/>
      <c r="N148" s="10"/>
      <c r="O148" s="12"/>
      <c r="P148" s="13"/>
    </row>
    <row r="149" spans="1:16" ht="18.75" customHeight="1">
      <c r="A149" s="41"/>
      <c r="B149" s="41"/>
      <c r="C149" s="42"/>
      <c r="D149" s="43"/>
      <c r="E149" s="43"/>
      <c r="F149" s="43"/>
      <c r="G149" s="43"/>
      <c r="H149" s="8" t="s">
        <v>23</v>
      </c>
      <c r="I149" s="9">
        <v>30</v>
      </c>
      <c r="J149" s="10"/>
      <c r="K149" s="11"/>
      <c r="L149" s="10"/>
      <c r="M149" s="11"/>
      <c r="N149" s="10"/>
      <c r="O149" s="12"/>
      <c r="P149" s="13"/>
    </row>
    <row r="150" spans="1:16" ht="18.75" customHeight="1">
      <c r="A150" s="41"/>
      <c r="B150" s="41"/>
      <c r="C150" s="42"/>
      <c r="D150" s="43"/>
      <c r="E150" s="43"/>
      <c r="F150" s="43"/>
      <c r="G150" s="43"/>
      <c r="H150" s="8" t="s">
        <v>24</v>
      </c>
      <c r="I150" s="9">
        <v>12</v>
      </c>
      <c r="J150" s="10"/>
      <c r="K150" s="11"/>
      <c r="L150" s="10"/>
      <c r="M150" s="11"/>
      <c r="N150" s="10"/>
      <c r="O150" s="12"/>
      <c r="P150" s="13"/>
    </row>
    <row r="151" spans="1:16" ht="18.75" customHeight="1">
      <c r="A151" s="40" t="s">
        <v>37</v>
      </c>
      <c r="B151" s="40"/>
      <c r="C151" s="40"/>
      <c r="D151" s="14"/>
      <c r="E151" s="14"/>
      <c r="F151" s="14"/>
      <c r="G151" s="15"/>
      <c r="H151" s="16" t="s">
        <v>25</v>
      </c>
      <c r="I151" s="17">
        <f t="shared" ref="I151" si="160">SUM(I146:I150)</f>
        <v>120</v>
      </c>
      <c r="J151" s="18">
        <f t="shared" ref="J151" si="161">SUM(J146:J150)</f>
        <v>0</v>
      </c>
      <c r="K151" s="19">
        <f t="shared" ref="K151" si="162">SUM(K146:K150)</f>
        <v>0</v>
      </c>
      <c r="L151" s="18">
        <f t="shared" ref="L151" si="163">SUM(L146:L150)</f>
        <v>0</v>
      </c>
      <c r="M151" s="19">
        <f t="shared" ref="M151" si="164">SUM(M146:M150)</f>
        <v>0</v>
      </c>
      <c r="N151" s="18">
        <f t="shared" ref="N151" si="165">SUM(N146:N150)</f>
        <v>0</v>
      </c>
      <c r="O151" s="19">
        <f t="shared" ref="O151" si="166">SUM(O146:O150)</f>
        <v>0</v>
      </c>
      <c r="P151" s="20">
        <f t="shared" ref="P151" si="167">SUM(P146:P150)</f>
        <v>0</v>
      </c>
    </row>
    <row r="152" spans="1:16" ht="18.75" customHeight="1">
      <c r="A152" s="41"/>
      <c r="B152" s="41" t="s">
        <v>31</v>
      </c>
      <c r="C152" s="42" t="s">
        <v>17</v>
      </c>
      <c r="D152" s="43" t="s">
        <v>50</v>
      </c>
      <c r="E152" s="43" t="s">
        <v>18</v>
      </c>
      <c r="F152" s="43" t="s">
        <v>33</v>
      </c>
      <c r="G152" s="43">
        <v>29</v>
      </c>
      <c r="H152" s="8" t="s">
        <v>20</v>
      </c>
      <c r="I152" s="9">
        <v>26</v>
      </c>
      <c r="J152" s="10"/>
      <c r="K152" s="11"/>
      <c r="L152" s="10"/>
      <c r="M152" s="11"/>
      <c r="N152" s="10"/>
      <c r="O152" s="12"/>
      <c r="P152" s="13"/>
    </row>
    <row r="153" spans="1:16" ht="18.75" customHeight="1">
      <c r="A153" s="41"/>
      <c r="B153" s="41"/>
      <c r="C153" s="42"/>
      <c r="D153" s="43"/>
      <c r="E153" s="43"/>
      <c r="F153" s="43"/>
      <c r="G153" s="43"/>
      <c r="H153" s="8" t="s">
        <v>21</v>
      </c>
      <c r="I153" s="9">
        <v>34</v>
      </c>
      <c r="J153" s="10"/>
      <c r="K153" s="11"/>
      <c r="L153" s="10"/>
      <c r="M153" s="11"/>
      <c r="N153" s="10"/>
      <c r="O153" s="12"/>
      <c r="P153" s="13"/>
    </row>
    <row r="154" spans="1:16" ht="18.75" customHeight="1">
      <c r="A154" s="41"/>
      <c r="B154" s="41"/>
      <c r="C154" s="42"/>
      <c r="D154" s="43"/>
      <c r="E154" s="43"/>
      <c r="F154" s="43"/>
      <c r="G154" s="43"/>
      <c r="H154" s="8" t="s">
        <v>22</v>
      </c>
      <c r="I154" s="9">
        <v>48</v>
      </c>
      <c r="J154" s="10"/>
      <c r="K154" s="11"/>
      <c r="L154" s="10"/>
      <c r="M154" s="11"/>
      <c r="N154" s="10"/>
      <c r="O154" s="12"/>
      <c r="P154" s="13"/>
    </row>
    <row r="155" spans="1:16" ht="18.75" customHeight="1">
      <c r="A155" s="41"/>
      <c r="B155" s="41"/>
      <c r="C155" s="42"/>
      <c r="D155" s="43"/>
      <c r="E155" s="43"/>
      <c r="F155" s="43"/>
      <c r="G155" s="43"/>
      <c r="H155" s="8" t="s">
        <v>23</v>
      </c>
      <c r="I155" s="9">
        <v>34</v>
      </c>
      <c r="J155" s="10"/>
      <c r="K155" s="11"/>
      <c r="L155" s="10"/>
      <c r="M155" s="11"/>
      <c r="N155" s="10"/>
      <c r="O155" s="12"/>
      <c r="P155" s="13"/>
    </row>
    <row r="156" spans="1:16" ht="18.75" customHeight="1">
      <c r="A156" s="41"/>
      <c r="B156" s="41"/>
      <c r="C156" s="42"/>
      <c r="D156" s="43"/>
      <c r="E156" s="43"/>
      <c r="F156" s="43"/>
      <c r="G156" s="43"/>
      <c r="H156" s="8" t="s">
        <v>24</v>
      </c>
      <c r="I156" s="9">
        <v>20</v>
      </c>
      <c r="J156" s="10"/>
      <c r="K156" s="11"/>
      <c r="L156" s="10"/>
      <c r="M156" s="11"/>
      <c r="N156" s="10"/>
      <c r="O156" s="12"/>
      <c r="P156" s="13"/>
    </row>
    <row r="157" spans="1:16" ht="18.75" customHeight="1">
      <c r="A157" s="40" t="s">
        <v>37</v>
      </c>
      <c r="B157" s="40"/>
      <c r="C157" s="40"/>
      <c r="D157" s="14"/>
      <c r="E157" s="14"/>
      <c r="F157" s="14"/>
      <c r="G157" s="15"/>
      <c r="H157" s="16" t="s">
        <v>25</v>
      </c>
      <c r="I157" s="17">
        <f t="shared" ref="I157" si="168">SUM(I152:I156)</f>
        <v>162</v>
      </c>
      <c r="J157" s="18">
        <f t="shared" ref="J157" si="169">SUM(J152:J156)</f>
        <v>0</v>
      </c>
      <c r="K157" s="19">
        <f t="shared" ref="K157" si="170">SUM(K152:K156)</f>
        <v>0</v>
      </c>
      <c r="L157" s="18">
        <f t="shared" ref="L157" si="171">SUM(L152:L156)</f>
        <v>0</v>
      </c>
      <c r="M157" s="19">
        <f t="shared" ref="M157" si="172">SUM(M152:M156)</f>
        <v>0</v>
      </c>
      <c r="N157" s="18">
        <f t="shared" ref="N157" si="173">SUM(N152:N156)</f>
        <v>0</v>
      </c>
      <c r="O157" s="19">
        <f t="shared" ref="O157" si="174">SUM(O152:O156)</f>
        <v>0</v>
      </c>
      <c r="P157" s="20">
        <f t="shared" ref="P157" si="175">SUM(P152:P156)</f>
        <v>0</v>
      </c>
    </row>
    <row r="158" spans="1:16" ht="18.75" customHeight="1">
      <c r="A158" s="41"/>
      <c r="B158" s="41" t="s">
        <v>31</v>
      </c>
      <c r="C158" s="42" t="s">
        <v>17</v>
      </c>
      <c r="D158" s="43" t="s">
        <v>50</v>
      </c>
      <c r="E158" s="43" t="s">
        <v>18</v>
      </c>
      <c r="F158" s="43" t="s">
        <v>34</v>
      </c>
      <c r="G158" s="43">
        <v>29</v>
      </c>
      <c r="H158" s="8" t="s">
        <v>20</v>
      </c>
      <c r="I158" s="9">
        <v>14</v>
      </c>
      <c r="J158" s="10"/>
      <c r="K158" s="11"/>
      <c r="L158" s="10"/>
      <c r="M158" s="11"/>
      <c r="N158" s="10"/>
      <c r="O158" s="12"/>
      <c r="P158" s="13"/>
    </row>
    <row r="159" spans="1:16" ht="18.75" customHeight="1">
      <c r="A159" s="41"/>
      <c r="B159" s="41"/>
      <c r="C159" s="42"/>
      <c r="D159" s="43"/>
      <c r="E159" s="43"/>
      <c r="F159" s="43"/>
      <c r="G159" s="43"/>
      <c r="H159" s="8" t="s">
        <v>21</v>
      </c>
      <c r="I159" s="9">
        <v>22</v>
      </c>
      <c r="J159" s="10"/>
      <c r="K159" s="11"/>
      <c r="L159" s="10"/>
      <c r="M159" s="11"/>
      <c r="N159" s="10"/>
      <c r="O159" s="12"/>
      <c r="P159" s="13"/>
    </row>
    <row r="160" spans="1:16" ht="18.75" customHeight="1">
      <c r="A160" s="41"/>
      <c r="B160" s="41"/>
      <c r="C160" s="42"/>
      <c r="D160" s="43"/>
      <c r="E160" s="43"/>
      <c r="F160" s="43"/>
      <c r="G160" s="43"/>
      <c r="H160" s="8" t="s">
        <v>22</v>
      </c>
      <c r="I160" s="9">
        <v>30</v>
      </c>
      <c r="J160" s="10"/>
      <c r="K160" s="11"/>
      <c r="L160" s="10"/>
      <c r="M160" s="11"/>
      <c r="N160" s="10"/>
      <c r="O160" s="12"/>
      <c r="P160" s="13"/>
    </row>
    <row r="161" spans="1:16" ht="18.75" customHeight="1">
      <c r="A161" s="41"/>
      <c r="B161" s="41"/>
      <c r="C161" s="42"/>
      <c r="D161" s="43"/>
      <c r="E161" s="43"/>
      <c r="F161" s="43"/>
      <c r="G161" s="43"/>
      <c r="H161" s="8" t="s">
        <v>23</v>
      </c>
      <c r="I161" s="9">
        <v>22</v>
      </c>
      <c r="J161" s="10"/>
      <c r="K161" s="11"/>
      <c r="L161" s="10"/>
      <c r="M161" s="11"/>
      <c r="N161" s="10"/>
      <c r="O161" s="12"/>
      <c r="P161" s="13"/>
    </row>
    <row r="162" spans="1:16" ht="18.75" customHeight="1">
      <c r="A162" s="41"/>
      <c r="B162" s="41"/>
      <c r="C162" s="42"/>
      <c r="D162" s="43"/>
      <c r="E162" s="43"/>
      <c r="F162" s="43"/>
      <c r="G162" s="43"/>
      <c r="H162" s="8" t="s">
        <v>24</v>
      </c>
      <c r="I162" s="9">
        <v>8</v>
      </c>
      <c r="J162" s="10"/>
      <c r="K162" s="11"/>
      <c r="L162" s="10"/>
      <c r="M162" s="11"/>
      <c r="N162" s="10"/>
      <c r="O162" s="12"/>
      <c r="P162" s="13"/>
    </row>
    <row r="163" spans="1:16" ht="18.75" customHeight="1">
      <c r="A163" s="40" t="s">
        <v>37</v>
      </c>
      <c r="B163" s="40"/>
      <c r="C163" s="40"/>
      <c r="D163" s="14"/>
      <c r="E163" s="14"/>
      <c r="F163" s="14"/>
      <c r="G163" s="15"/>
      <c r="H163" s="16" t="s">
        <v>25</v>
      </c>
      <c r="I163" s="17">
        <f t="shared" ref="I163" si="176">SUM(I158:I162)</f>
        <v>96</v>
      </c>
      <c r="J163" s="18">
        <f t="shared" ref="J163" si="177">SUM(J158:J162)</f>
        <v>0</v>
      </c>
      <c r="K163" s="19">
        <f t="shared" ref="K163" si="178">SUM(K158:K162)</f>
        <v>0</v>
      </c>
      <c r="L163" s="18">
        <f t="shared" ref="L163" si="179">SUM(L158:L162)</f>
        <v>0</v>
      </c>
      <c r="M163" s="19">
        <f t="shared" ref="M163" si="180">SUM(M158:M162)</f>
        <v>0</v>
      </c>
      <c r="N163" s="18">
        <f t="shared" ref="N163" si="181">SUM(N158:N162)</f>
        <v>0</v>
      </c>
      <c r="O163" s="19">
        <f t="shared" ref="O163" si="182">SUM(O158:O162)</f>
        <v>0</v>
      </c>
      <c r="P163" s="20">
        <f t="shared" ref="P163" si="183">SUM(P158:P162)</f>
        <v>0</v>
      </c>
    </row>
    <row r="164" spans="1:16" ht="18.75" customHeight="1">
      <c r="A164" s="41"/>
      <c r="B164" s="41" t="s">
        <v>31</v>
      </c>
      <c r="C164" s="42" t="s">
        <v>17</v>
      </c>
      <c r="D164" s="43" t="s">
        <v>50</v>
      </c>
      <c r="E164" s="43" t="s">
        <v>18</v>
      </c>
      <c r="F164" s="43" t="s">
        <v>35</v>
      </c>
      <c r="G164" s="43">
        <v>29</v>
      </c>
      <c r="H164" s="8" t="s">
        <v>20</v>
      </c>
      <c r="I164" s="9">
        <v>8</v>
      </c>
      <c r="J164" s="10"/>
      <c r="K164" s="11"/>
      <c r="L164" s="10"/>
      <c r="M164" s="11"/>
      <c r="N164" s="10"/>
      <c r="O164" s="12"/>
      <c r="P164" s="13"/>
    </row>
    <row r="165" spans="1:16" ht="18.75" customHeight="1">
      <c r="A165" s="41"/>
      <c r="B165" s="41"/>
      <c r="C165" s="42"/>
      <c r="D165" s="43"/>
      <c r="E165" s="43"/>
      <c r="F165" s="43"/>
      <c r="G165" s="43"/>
      <c r="H165" s="8" t="s">
        <v>21</v>
      </c>
      <c r="I165" s="9">
        <v>16</v>
      </c>
      <c r="J165" s="10"/>
      <c r="K165" s="11"/>
      <c r="L165" s="10"/>
      <c r="M165" s="11"/>
      <c r="N165" s="10"/>
      <c r="O165" s="12"/>
      <c r="P165" s="13"/>
    </row>
    <row r="166" spans="1:16" ht="18.75" customHeight="1">
      <c r="A166" s="41"/>
      <c r="B166" s="41"/>
      <c r="C166" s="42"/>
      <c r="D166" s="43"/>
      <c r="E166" s="43"/>
      <c r="F166" s="43"/>
      <c r="G166" s="43"/>
      <c r="H166" s="8" t="s">
        <v>22</v>
      </c>
      <c r="I166" s="9">
        <v>30</v>
      </c>
      <c r="J166" s="10"/>
      <c r="K166" s="11"/>
      <c r="L166" s="10"/>
      <c r="M166" s="11"/>
      <c r="N166" s="10"/>
      <c r="O166" s="12"/>
      <c r="P166" s="13"/>
    </row>
    <row r="167" spans="1:16" ht="18.75" customHeight="1">
      <c r="A167" s="41"/>
      <c r="B167" s="41"/>
      <c r="C167" s="42"/>
      <c r="D167" s="43"/>
      <c r="E167" s="43"/>
      <c r="F167" s="43"/>
      <c r="G167" s="43"/>
      <c r="H167" s="8" t="s">
        <v>23</v>
      </c>
      <c r="I167" s="9">
        <v>16</v>
      </c>
      <c r="J167" s="10"/>
      <c r="K167" s="11"/>
      <c r="L167" s="10"/>
      <c r="M167" s="11"/>
      <c r="N167" s="10"/>
      <c r="O167" s="12"/>
      <c r="P167" s="13"/>
    </row>
    <row r="168" spans="1:16" ht="18.75" customHeight="1">
      <c r="A168" s="41"/>
      <c r="B168" s="41"/>
      <c r="C168" s="42"/>
      <c r="D168" s="43"/>
      <c r="E168" s="43"/>
      <c r="F168" s="43"/>
      <c r="G168" s="43"/>
      <c r="H168" s="8" t="s">
        <v>24</v>
      </c>
      <c r="I168" s="9">
        <v>8</v>
      </c>
      <c r="J168" s="10"/>
      <c r="K168" s="11"/>
      <c r="L168" s="10"/>
      <c r="M168" s="11"/>
      <c r="N168" s="10"/>
      <c r="O168" s="12"/>
      <c r="P168" s="13"/>
    </row>
    <row r="169" spans="1:16" ht="18.75" customHeight="1">
      <c r="A169" s="40" t="s">
        <v>37</v>
      </c>
      <c r="B169" s="40"/>
      <c r="C169" s="40"/>
      <c r="D169" s="14"/>
      <c r="E169" s="14"/>
      <c r="F169" s="14"/>
      <c r="G169" s="15"/>
      <c r="H169" s="16" t="s">
        <v>25</v>
      </c>
      <c r="I169" s="17">
        <f t="shared" ref="I169" si="184">SUM(I164:I168)</f>
        <v>78</v>
      </c>
      <c r="J169" s="18">
        <f t="shared" ref="J169" si="185">SUM(J164:J168)</f>
        <v>0</v>
      </c>
      <c r="K169" s="19">
        <f t="shared" ref="K169" si="186">SUM(K164:K168)</f>
        <v>0</v>
      </c>
      <c r="L169" s="18">
        <f t="shared" ref="L169" si="187">SUM(L164:L168)</f>
        <v>0</v>
      </c>
      <c r="M169" s="19">
        <f t="shared" ref="M169" si="188">SUM(M164:M168)</f>
        <v>0</v>
      </c>
      <c r="N169" s="18">
        <f t="shared" ref="N169" si="189">SUM(N164:N168)</f>
        <v>0</v>
      </c>
      <c r="O169" s="19">
        <f t="shared" ref="O169" si="190">SUM(O164:O168)</f>
        <v>0</v>
      </c>
      <c r="P169" s="20">
        <f t="shared" ref="P169" si="191">SUM(P164:P168)</f>
        <v>0</v>
      </c>
    </row>
    <row r="170" spans="1:16" ht="27" customHeight="1">
      <c r="A170" s="44" t="s">
        <v>51</v>
      </c>
      <c r="B170" s="44"/>
      <c r="C170" s="44"/>
      <c r="D170" s="44"/>
      <c r="E170" s="44"/>
      <c r="F170" s="44"/>
      <c r="G170" s="44"/>
      <c r="H170" s="44"/>
      <c r="I170" s="21">
        <f>+SUM(I151,I157,I163,I169)</f>
        <v>456</v>
      </c>
      <c r="J170" s="21">
        <f t="shared" ref="J170:P170" si="192">+SUM(J151,J157,J163,J169)</f>
        <v>0</v>
      </c>
      <c r="K170" s="21">
        <f t="shared" si="192"/>
        <v>0</v>
      </c>
      <c r="L170" s="21">
        <f t="shared" si="192"/>
        <v>0</v>
      </c>
      <c r="M170" s="21">
        <f t="shared" si="192"/>
        <v>0</v>
      </c>
      <c r="N170" s="21">
        <f t="shared" si="192"/>
        <v>0</v>
      </c>
      <c r="O170" s="21">
        <f t="shared" si="192"/>
        <v>0</v>
      </c>
      <c r="P170" s="21">
        <f t="shared" si="192"/>
        <v>0</v>
      </c>
    </row>
    <row r="171" spans="1:16" ht="18.75" customHeight="1">
      <c r="A171" s="41"/>
      <c r="B171" s="41" t="s">
        <v>31</v>
      </c>
      <c r="C171" s="42" t="s">
        <v>17</v>
      </c>
      <c r="D171" s="43" t="s">
        <v>44</v>
      </c>
      <c r="E171" s="43" t="s">
        <v>18</v>
      </c>
      <c r="F171" s="43" t="s">
        <v>33</v>
      </c>
      <c r="G171" s="43">
        <v>29</v>
      </c>
      <c r="H171" s="8" t="s">
        <v>20</v>
      </c>
      <c r="I171" s="9">
        <v>5</v>
      </c>
      <c r="J171" s="10"/>
      <c r="K171" s="11"/>
      <c r="L171" s="10"/>
      <c r="M171" s="11"/>
      <c r="N171" s="10"/>
      <c r="O171" s="12"/>
      <c r="P171" s="13"/>
    </row>
    <row r="172" spans="1:16" ht="18.75" customHeight="1">
      <c r="A172" s="41"/>
      <c r="B172" s="41"/>
      <c r="C172" s="42"/>
      <c r="D172" s="43"/>
      <c r="E172" s="43"/>
      <c r="F172" s="43"/>
      <c r="G172" s="43"/>
      <c r="H172" s="8" t="s">
        <v>21</v>
      </c>
      <c r="I172" s="9">
        <v>10</v>
      </c>
      <c r="J172" s="10"/>
      <c r="K172" s="11"/>
      <c r="L172" s="10"/>
      <c r="M172" s="11"/>
      <c r="N172" s="10"/>
      <c r="O172" s="12"/>
      <c r="P172" s="13"/>
    </row>
    <row r="173" spans="1:16" ht="18.75" customHeight="1">
      <c r="A173" s="41"/>
      <c r="B173" s="41"/>
      <c r="C173" s="42"/>
      <c r="D173" s="43"/>
      <c r="E173" s="43"/>
      <c r="F173" s="43"/>
      <c r="G173" s="43"/>
      <c r="H173" s="8" t="s">
        <v>22</v>
      </c>
      <c r="I173" s="9">
        <v>10</v>
      </c>
      <c r="J173" s="10"/>
      <c r="K173" s="11"/>
      <c r="L173" s="10"/>
      <c r="M173" s="11"/>
      <c r="N173" s="10"/>
      <c r="O173" s="12"/>
      <c r="P173" s="13"/>
    </row>
    <row r="174" spans="1:16" ht="18.75" customHeight="1">
      <c r="A174" s="41"/>
      <c r="B174" s="41"/>
      <c r="C174" s="42"/>
      <c r="D174" s="43"/>
      <c r="E174" s="43"/>
      <c r="F174" s="43"/>
      <c r="G174" s="43"/>
      <c r="H174" s="8" t="s">
        <v>23</v>
      </c>
      <c r="I174" s="9">
        <v>5</v>
      </c>
      <c r="J174" s="10"/>
      <c r="K174" s="11"/>
      <c r="L174" s="10"/>
      <c r="M174" s="11"/>
      <c r="N174" s="10"/>
      <c r="O174" s="12"/>
      <c r="P174" s="13"/>
    </row>
    <row r="175" spans="1:16" ht="18.75" customHeight="1">
      <c r="A175" s="41"/>
      <c r="B175" s="41"/>
      <c r="C175" s="42"/>
      <c r="D175" s="43"/>
      <c r="E175" s="43"/>
      <c r="F175" s="43"/>
      <c r="G175" s="43"/>
      <c r="H175" s="8" t="s">
        <v>24</v>
      </c>
      <c r="I175" s="9">
        <v>0</v>
      </c>
      <c r="J175" s="10"/>
      <c r="K175" s="11"/>
      <c r="L175" s="10"/>
      <c r="M175" s="11"/>
      <c r="N175" s="10"/>
      <c r="O175" s="12"/>
      <c r="P175" s="13"/>
    </row>
    <row r="176" spans="1:16" ht="18.75" customHeight="1">
      <c r="A176" s="40" t="s">
        <v>37</v>
      </c>
      <c r="B176" s="40"/>
      <c r="C176" s="40"/>
      <c r="D176" s="14"/>
      <c r="E176" s="14"/>
      <c r="F176" s="14"/>
      <c r="G176" s="15"/>
      <c r="H176" s="16" t="s">
        <v>25</v>
      </c>
      <c r="I176" s="17">
        <f t="shared" ref="I176" si="193">SUM(I171:I175)</f>
        <v>30</v>
      </c>
      <c r="J176" s="18">
        <f t="shared" ref="J176" si="194">SUM(J171:J175)</f>
        <v>0</v>
      </c>
      <c r="K176" s="19">
        <f t="shared" ref="K176" si="195">SUM(K171:K175)</f>
        <v>0</v>
      </c>
      <c r="L176" s="18">
        <f t="shared" ref="L176" si="196">SUM(L171:L175)</f>
        <v>0</v>
      </c>
      <c r="M176" s="19">
        <f t="shared" ref="M176" si="197">SUM(M171:M175)</f>
        <v>0</v>
      </c>
      <c r="N176" s="18">
        <f t="shared" ref="N176" si="198">SUM(N171:N175)</f>
        <v>0</v>
      </c>
      <c r="O176" s="19">
        <f t="shared" ref="O176" si="199">SUM(O171:O175)</f>
        <v>0</v>
      </c>
      <c r="P176" s="20">
        <f t="shared" ref="P176" si="200">SUM(P171:P175)</f>
        <v>0</v>
      </c>
    </row>
    <row r="177" spans="1:16" ht="27" customHeight="1">
      <c r="A177" s="44" t="s">
        <v>45</v>
      </c>
      <c r="B177" s="44"/>
      <c r="C177" s="44"/>
      <c r="D177" s="44"/>
      <c r="E177" s="44"/>
      <c r="F177" s="44"/>
      <c r="G177" s="44"/>
      <c r="H177" s="44"/>
      <c r="I177" s="21">
        <f>+I176</f>
        <v>30</v>
      </c>
      <c r="J177" s="21">
        <f t="shared" ref="J177:P177" si="201">+J176</f>
        <v>0</v>
      </c>
      <c r="K177" s="21">
        <f t="shared" si="201"/>
        <v>0</v>
      </c>
      <c r="L177" s="21">
        <f t="shared" si="201"/>
        <v>0</v>
      </c>
      <c r="M177" s="21">
        <f t="shared" si="201"/>
        <v>0</v>
      </c>
      <c r="N177" s="21">
        <f t="shared" si="201"/>
        <v>0</v>
      </c>
      <c r="O177" s="21">
        <f t="shared" si="201"/>
        <v>0</v>
      </c>
      <c r="P177" s="21">
        <f t="shared" si="201"/>
        <v>0</v>
      </c>
    </row>
    <row r="178" spans="1:16" ht="18.75" customHeight="1">
      <c r="A178" s="41"/>
      <c r="B178" s="41" t="s">
        <v>31</v>
      </c>
      <c r="C178" s="42" t="s">
        <v>17</v>
      </c>
      <c r="D178" s="43" t="s">
        <v>46</v>
      </c>
      <c r="E178" s="43" t="s">
        <v>18</v>
      </c>
      <c r="F178" s="43" t="s">
        <v>28</v>
      </c>
      <c r="G178" s="43">
        <v>29</v>
      </c>
      <c r="H178" s="8" t="s">
        <v>20</v>
      </c>
      <c r="I178" s="9">
        <v>14</v>
      </c>
      <c r="J178" s="10"/>
      <c r="K178" s="11"/>
      <c r="L178" s="10"/>
      <c r="M178" s="11"/>
      <c r="N178" s="10"/>
      <c r="O178" s="12"/>
      <c r="P178" s="13"/>
    </row>
    <row r="179" spans="1:16" ht="18.75" customHeight="1">
      <c r="A179" s="41"/>
      <c r="B179" s="41"/>
      <c r="C179" s="42"/>
      <c r="D179" s="43"/>
      <c r="E179" s="43"/>
      <c r="F179" s="43"/>
      <c r="G179" s="43"/>
      <c r="H179" s="8" t="s">
        <v>21</v>
      </c>
      <c r="I179" s="9">
        <v>22</v>
      </c>
      <c r="J179" s="10"/>
      <c r="K179" s="11"/>
      <c r="L179" s="10"/>
      <c r="M179" s="11"/>
      <c r="N179" s="10"/>
      <c r="O179" s="12"/>
      <c r="P179" s="13"/>
    </row>
    <row r="180" spans="1:16" ht="18.75" customHeight="1">
      <c r="A180" s="41"/>
      <c r="B180" s="41"/>
      <c r="C180" s="42"/>
      <c r="D180" s="43"/>
      <c r="E180" s="43"/>
      <c r="F180" s="43"/>
      <c r="G180" s="43"/>
      <c r="H180" s="8" t="s">
        <v>22</v>
      </c>
      <c r="I180" s="9">
        <v>16</v>
      </c>
      <c r="J180" s="10"/>
      <c r="K180" s="11"/>
      <c r="L180" s="10"/>
      <c r="M180" s="11"/>
      <c r="N180" s="10"/>
      <c r="O180" s="12"/>
      <c r="P180" s="13"/>
    </row>
    <row r="181" spans="1:16" ht="18.75" customHeight="1">
      <c r="A181" s="41"/>
      <c r="B181" s="41"/>
      <c r="C181" s="42"/>
      <c r="D181" s="43"/>
      <c r="E181" s="43"/>
      <c r="F181" s="43"/>
      <c r="G181" s="43"/>
      <c r="H181" s="8" t="s">
        <v>23</v>
      </c>
      <c r="I181" s="9">
        <v>8</v>
      </c>
      <c r="J181" s="10"/>
      <c r="K181" s="11"/>
      <c r="L181" s="10"/>
      <c r="M181" s="11"/>
      <c r="N181" s="10"/>
      <c r="O181" s="12"/>
      <c r="P181" s="13"/>
    </row>
    <row r="182" spans="1:16" ht="18.75" customHeight="1">
      <c r="A182" s="41"/>
      <c r="B182" s="41"/>
      <c r="C182" s="42"/>
      <c r="D182" s="43"/>
      <c r="E182" s="43"/>
      <c r="F182" s="43"/>
      <c r="G182" s="43"/>
      <c r="H182" s="8" t="s">
        <v>24</v>
      </c>
      <c r="I182" s="9"/>
      <c r="J182" s="10"/>
      <c r="K182" s="11"/>
      <c r="L182" s="10"/>
      <c r="M182" s="11"/>
      <c r="N182" s="10"/>
      <c r="O182" s="12"/>
      <c r="P182" s="13"/>
    </row>
    <row r="183" spans="1:16" ht="18.75" customHeight="1">
      <c r="A183" s="40" t="s">
        <v>37</v>
      </c>
      <c r="B183" s="40"/>
      <c r="C183" s="40"/>
      <c r="D183" s="14"/>
      <c r="E183" s="14"/>
      <c r="F183" s="14"/>
      <c r="G183" s="15"/>
      <c r="H183" s="16" t="s">
        <v>25</v>
      </c>
      <c r="I183" s="17">
        <f t="shared" ref="I183" si="202">SUM(I178:I182)</f>
        <v>60</v>
      </c>
      <c r="J183" s="18">
        <f t="shared" ref="J183" si="203">SUM(J178:J182)</f>
        <v>0</v>
      </c>
      <c r="K183" s="19">
        <f t="shared" ref="K183" si="204">SUM(K178:K182)</f>
        <v>0</v>
      </c>
      <c r="L183" s="18">
        <f t="shared" ref="L183" si="205">SUM(L178:L182)</f>
        <v>0</v>
      </c>
      <c r="M183" s="19">
        <f t="shared" ref="M183" si="206">SUM(M178:M182)</f>
        <v>0</v>
      </c>
      <c r="N183" s="18">
        <f t="shared" ref="N183" si="207">SUM(N178:N182)</f>
        <v>0</v>
      </c>
      <c r="O183" s="19">
        <f t="shared" ref="O183" si="208">SUM(O178:O182)</f>
        <v>0</v>
      </c>
      <c r="P183" s="20">
        <f t="shared" ref="P183" si="209">SUM(P178:P182)</f>
        <v>0</v>
      </c>
    </row>
    <row r="184" spans="1:16" ht="18.75" customHeight="1">
      <c r="A184" s="41"/>
      <c r="B184" s="41" t="s">
        <v>31</v>
      </c>
      <c r="C184" s="42" t="s">
        <v>17</v>
      </c>
      <c r="D184" s="43" t="s">
        <v>46</v>
      </c>
      <c r="E184" s="43" t="s">
        <v>18</v>
      </c>
      <c r="F184" s="43" t="s">
        <v>47</v>
      </c>
      <c r="G184" s="43">
        <v>29</v>
      </c>
      <c r="H184" s="8" t="s">
        <v>20</v>
      </c>
      <c r="I184" s="9">
        <v>9</v>
      </c>
      <c r="J184" s="10"/>
      <c r="K184" s="11"/>
      <c r="L184" s="10"/>
      <c r="M184" s="11"/>
      <c r="N184" s="10"/>
      <c r="O184" s="12"/>
      <c r="P184" s="13"/>
    </row>
    <row r="185" spans="1:16" ht="18.75" customHeight="1">
      <c r="A185" s="41"/>
      <c r="B185" s="41"/>
      <c r="C185" s="42"/>
      <c r="D185" s="43"/>
      <c r="E185" s="43"/>
      <c r="F185" s="43"/>
      <c r="G185" s="43"/>
      <c r="H185" s="8" t="s">
        <v>21</v>
      </c>
      <c r="I185" s="9">
        <v>15</v>
      </c>
      <c r="J185" s="10"/>
      <c r="K185" s="11"/>
      <c r="L185" s="10"/>
      <c r="M185" s="11"/>
      <c r="N185" s="10"/>
      <c r="O185" s="12"/>
      <c r="P185" s="13"/>
    </row>
    <row r="186" spans="1:16" ht="18.75" customHeight="1">
      <c r="A186" s="41"/>
      <c r="B186" s="41"/>
      <c r="C186" s="42"/>
      <c r="D186" s="43"/>
      <c r="E186" s="43"/>
      <c r="F186" s="43"/>
      <c r="G186" s="43"/>
      <c r="H186" s="8" t="s">
        <v>22</v>
      </c>
      <c r="I186" s="9">
        <v>10</v>
      </c>
      <c r="J186" s="10"/>
      <c r="K186" s="11"/>
      <c r="L186" s="10"/>
      <c r="M186" s="11"/>
      <c r="N186" s="10"/>
      <c r="O186" s="12"/>
      <c r="P186" s="13"/>
    </row>
    <row r="187" spans="1:16" ht="18.75" customHeight="1">
      <c r="A187" s="41"/>
      <c r="B187" s="41"/>
      <c r="C187" s="42"/>
      <c r="D187" s="43"/>
      <c r="E187" s="43"/>
      <c r="F187" s="43"/>
      <c r="G187" s="43"/>
      <c r="H187" s="8" t="s">
        <v>23</v>
      </c>
      <c r="I187" s="9">
        <v>6</v>
      </c>
      <c r="J187" s="10"/>
      <c r="K187" s="11"/>
      <c r="L187" s="10"/>
      <c r="M187" s="11"/>
      <c r="N187" s="10"/>
      <c r="O187" s="12"/>
      <c r="P187" s="13"/>
    </row>
    <row r="188" spans="1:16" ht="18.75" customHeight="1">
      <c r="A188" s="41"/>
      <c r="B188" s="41"/>
      <c r="C188" s="42"/>
      <c r="D188" s="43"/>
      <c r="E188" s="43"/>
      <c r="F188" s="43"/>
      <c r="G188" s="43"/>
      <c r="H188" s="8" t="s">
        <v>24</v>
      </c>
      <c r="I188" s="9"/>
      <c r="J188" s="10"/>
      <c r="K188" s="11"/>
      <c r="L188" s="10"/>
      <c r="M188" s="11"/>
      <c r="N188" s="10"/>
      <c r="O188" s="12"/>
      <c r="P188" s="13"/>
    </row>
    <row r="189" spans="1:16" ht="18.75" customHeight="1">
      <c r="A189" s="40" t="s">
        <v>37</v>
      </c>
      <c r="B189" s="40"/>
      <c r="C189" s="40"/>
      <c r="D189" s="14"/>
      <c r="E189" s="14"/>
      <c r="F189" s="14"/>
      <c r="G189" s="15"/>
      <c r="H189" s="16" t="s">
        <v>25</v>
      </c>
      <c r="I189" s="17">
        <f t="shared" ref="I189" si="210">SUM(I184:I188)</f>
        <v>40</v>
      </c>
      <c r="J189" s="18">
        <f t="shared" ref="J189" si="211">SUM(J184:J188)</f>
        <v>0</v>
      </c>
      <c r="K189" s="19">
        <f t="shared" ref="K189" si="212">SUM(K184:K188)</f>
        <v>0</v>
      </c>
      <c r="L189" s="18">
        <f t="shared" ref="L189" si="213">SUM(L184:L188)</f>
        <v>0</v>
      </c>
      <c r="M189" s="19">
        <f t="shared" ref="M189" si="214">SUM(M184:M188)</f>
        <v>0</v>
      </c>
      <c r="N189" s="18">
        <f t="shared" ref="N189" si="215">SUM(N184:N188)</f>
        <v>0</v>
      </c>
      <c r="O189" s="19">
        <f t="shared" ref="O189" si="216">SUM(O184:O188)</f>
        <v>0</v>
      </c>
      <c r="P189" s="20">
        <f t="shared" ref="P189" si="217">SUM(P184:P188)</f>
        <v>0</v>
      </c>
    </row>
    <row r="190" spans="1:16" ht="18.75" customHeight="1">
      <c r="A190" s="41"/>
      <c r="B190" s="41" t="s">
        <v>31</v>
      </c>
      <c r="C190" s="42" t="s">
        <v>17</v>
      </c>
      <c r="D190" s="43" t="s">
        <v>46</v>
      </c>
      <c r="E190" s="43" t="s">
        <v>18</v>
      </c>
      <c r="F190" s="43" t="s">
        <v>38</v>
      </c>
      <c r="G190" s="43">
        <v>29</v>
      </c>
      <c r="H190" s="8" t="s">
        <v>20</v>
      </c>
      <c r="I190" s="9">
        <v>14</v>
      </c>
      <c r="J190" s="10"/>
      <c r="K190" s="11"/>
      <c r="L190" s="10"/>
      <c r="M190" s="11"/>
      <c r="N190" s="10"/>
      <c r="O190" s="12"/>
      <c r="P190" s="13"/>
    </row>
    <row r="191" spans="1:16" ht="18.75" customHeight="1">
      <c r="A191" s="41"/>
      <c r="B191" s="41"/>
      <c r="C191" s="42"/>
      <c r="D191" s="43"/>
      <c r="E191" s="43"/>
      <c r="F191" s="43"/>
      <c r="G191" s="43"/>
      <c r="H191" s="8" t="s">
        <v>21</v>
      </c>
      <c r="I191" s="9">
        <v>22</v>
      </c>
      <c r="J191" s="10"/>
      <c r="K191" s="11"/>
      <c r="L191" s="10"/>
      <c r="M191" s="11"/>
      <c r="N191" s="10"/>
      <c r="O191" s="12"/>
      <c r="P191" s="13"/>
    </row>
    <row r="192" spans="1:16" ht="18.75" customHeight="1">
      <c r="A192" s="41"/>
      <c r="B192" s="41"/>
      <c r="C192" s="42"/>
      <c r="D192" s="43"/>
      <c r="E192" s="43"/>
      <c r="F192" s="43"/>
      <c r="G192" s="43"/>
      <c r="H192" s="8" t="s">
        <v>22</v>
      </c>
      <c r="I192" s="9">
        <v>16</v>
      </c>
      <c r="J192" s="10"/>
      <c r="K192" s="11"/>
      <c r="L192" s="10"/>
      <c r="M192" s="11"/>
      <c r="N192" s="10"/>
      <c r="O192" s="12"/>
      <c r="P192" s="13"/>
    </row>
    <row r="193" spans="1:16" ht="18.75" customHeight="1">
      <c r="A193" s="41"/>
      <c r="B193" s="41"/>
      <c r="C193" s="42"/>
      <c r="D193" s="43"/>
      <c r="E193" s="43"/>
      <c r="F193" s="43"/>
      <c r="G193" s="43"/>
      <c r="H193" s="8" t="s">
        <v>23</v>
      </c>
      <c r="I193" s="9">
        <v>8</v>
      </c>
      <c r="J193" s="10"/>
      <c r="K193" s="11"/>
      <c r="L193" s="10"/>
      <c r="M193" s="11"/>
      <c r="N193" s="10"/>
      <c r="O193" s="12"/>
      <c r="P193" s="13"/>
    </row>
    <row r="194" spans="1:16" ht="18.75" customHeight="1">
      <c r="A194" s="41"/>
      <c r="B194" s="41"/>
      <c r="C194" s="42"/>
      <c r="D194" s="43"/>
      <c r="E194" s="43"/>
      <c r="F194" s="43"/>
      <c r="G194" s="43"/>
      <c r="H194" s="8" t="s">
        <v>24</v>
      </c>
      <c r="I194" s="9"/>
      <c r="J194" s="10"/>
      <c r="K194" s="11"/>
      <c r="L194" s="10"/>
      <c r="M194" s="11"/>
      <c r="N194" s="10"/>
      <c r="O194" s="12"/>
      <c r="P194" s="13"/>
    </row>
    <row r="195" spans="1:16" ht="18.75" customHeight="1">
      <c r="A195" s="40" t="s">
        <v>37</v>
      </c>
      <c r="B195" s="40"/>
      <c r="C195" s="40"/>
      <c r="D195" s="14"/>
      <c r="E195" s="14"/>
      <c r="F195" s="14"/>
      <c r="G195" s="15"/>
      <c r="H195" s="16" t="s">
        <v>25</v>
      </c>
      <c r="I195" s="17">
        <f t="shared" ref="I195" si="218">SUM(I190:I194)</f>
        <v>60</v>
      </c>
      <c r="J195" s="18">
        <f t="shared" ref="J195" si="219">SUM(J190:J194)</f>
        <v>0</v>
      </c>
      <c r="K195" s="19">
        <f t="shared" ref="K195" si="220">SUM(K190:K194)</f>
        <v>0</v>
      </c>
      <c r="L195" s="18">
        <f t="shared" ref="L195" si="221">SUM(L190:L194)</f>
        <v>0</v>
      </c>
      <c r="M195" s="19">
        <f t="shared" ref="M195" si="222">SUM(M190:M194)</f>
        <v>0</v>
      </c>
      <c r="N195" s="18">
        <f t="shared" ref="N195" si="223">SUM(N190:N194)</f>
        <v>0</v>
      </c>
      <c r="O195" s="19">
        <f t="shared" ref="O195" si="224">SUM(O190:O194)</f>
        <v>0</v>
      </c>
      <c r="P195" s="20">
        <f t="shared" ref="P195" si="225">SUM(P190:P194)</f>
        <v>0</v>
      </c>
    </row>
    <row r="196" spans="1:16" ht="27" customHeight="1">
      <c r="A196" s="44" t="s">
        <v>43</v>
      </c>
      <c r="B196" s="44"/>
      <c r="C196" s="44"/>
      <c r="D196" s="44"/>
      <c r="E196" s="44"/>
      <c r="F196" s="44"/>
      <c r="G196" s="44"/>
      <c r="H196" s="44"/>
      <c r="I196" s="21">
        <f>+SUM(I183,I189,I195)</f>
        <v>160</v>
      </c>
      <c r="J196" s="21">
        <f t="shared" ref="J196:P196" si="226">+SUM(J183,J189,J195)</f>
        <v>0</v>
      </c>
      <c r="K196" s="21">
        <f t="shared" si="226"/>
        <v>0</v>
      </c>
      <c r="L196" s="21">
        <f t="shared" si="226"/>
        <v>0</v>
      </c>
      <c r="M196" s="21">
        <f t="shared" si="226"/>
        <v>0</v>
      </c>
      <c r="N196" s="21">
        <f t="shared" si="226"/>
        <v>0</v>
      </c>
      <c r="O196" s="21">
        <f t="shared" si="226"/>
        <v>0</v>
      </c>
      <c r="P196" s="21">
        <f t="shared" si="226"/>
        <v>0</v>
      </c>
    </row>
    <row r="197" spans="1:16" ht="30" customHeight="1">
      <c r="A197" s="48" t="s">
        <v>29</v>
      </c>
      <c r="B197" s="48"/>
      <c r="C197" s="48"/>
      <c r="D197" s="48"/>
      <c r="E197" s="48"/>
      <c r="F197" s="48"/>
      <c r="G197" s="48"/>
      <c r="H197" s="48"/>
      <c r="I197" s="23">
        <f>+SUM(I39,I76,I108,I145,I170,I177,I196)</f>
        <v>4954</v>
      </c>
      <c r="J197" s="23">
        <f t="shared" ref="J197:P197" si="227">+SUM(J39,J76,J108,J145,J170,J177,J196)</f>
        <v>0</v>
      </c>
      <c r="K197" s="23">
        <f t="shared" si="227"/>
        <v>0</v>
      </c>
      <c r="L197" s="23">
        <f t="shared" si="227"/>
        <v>0</v>
      </c>
      <c r="M197" s="23">
        <f t="shared" si="227"/>
        <v>0</v>
      </c>
      <c r="N197" s="23">
        <f t="shared" si="227"/>
        <v>0</v>
      </c>
      <c r="O197" s="23">
        <f t="shared" si="227"/>
        <v>0</v>
      </c>
      <c r="P197" s="23">
        <f t="shared" si="227"/>
        <v>0</v>
      </c>
    </row>
    <row r="199" spans="1:16" ht="27.6">
      <c r="B199" s="4" t="s">
        <v>2</v>
      </c>
      <c r="C199" s="24" t="s">
        <v>3</v>
      </c>
      <c r="D199" s="3" t="s">
        <v>4</v>
      </c>
      <c r="E199" s="3"/>
      <c r="F199" s="4" t="s">
        <v>6</v>
      </c>
      <c r="G199" s="4" t="s">
        <v>7</v>
      </c>
      <c r="H199" s="4" t="s">
        <v>8</v>
      </c>
      <c r="I199" s="4" t="s">
        <v>9</v>
      </c>
      <c r="J199" s="5" t="s">
        <v>10</v>
      </c>
      <c r="K199" s="6" t="s">
        <v>11</v>
      </c>
      <c r="L199" s="5" t="s">
        <v>12</v>
      </c>
      <c r="M199" s="6" t="s">
        <v>13</v>
      </c>
      <c r="N199" s="5" t="s">
        <v>14</v>
      </c>
      <c r="O199" s="6" t="s">
        <v>15</v>
      </c>
      <c r="P199" s="5" t="s">
        <v>16</v>
      </c>
    </row>
    <row r="200" spans="1:16" ht="20.25" customHeight="1">
      <c r="B200" s="38" t="s">
        <v>31</v>
      </c>
      <c r="C200" s="39" t="s">
        <v>30</v>
      </c>
      <c r="D200" s="36" t="s">
        <v>32</v>
      </c>
      <c r="E200" s="36" t="s">
        <v>18</v>
      </c>
      <c r="F200" s="25" t="s">
        <v>19</v>
      </c>
      <c r="G200" s="36"/>
      <c r="H200" s="25"/>
      <c r="I200" s="26">
        <f>+I8</f>
        <v>544</v>
      </c>
      <c r="J200" s="26">
        <f>+J8</f>
        <v>0</v>
      </c>
      <c r="K200" s="26">
        <f t="shared" ref="K200:P200" si="228">+K8</f>
        <v>0</v>
      </c>
      <c r="L200" s="26">
        <f t="shared" si="228"/>
        <v>0</v>
      </c>
      <c r="M200" s="26">
        <f t="shared" si="228"/>
        <v>0</v>
      </c>
      <c r="N200" s="26">
        <f t="shared" si="228"/>
        <v>0</v>
      </c>
      <c r="O200" s="26">
        <f t="shared" si="228"/>
        <v>0</v>
      </c>
      <c r="P200" s="26">
        <f t="shared" si="228"/>
        <v>0</v>
      </c>
    </row>
    <row r="201" spans="1:16" ht="20.25" customHeight="1">
      <c r="B201" s="38"/>
      <c r="C201" s="39"/>
      <c r="D201" s="36"/>
      <c r="E201" s="36"/>
      <c r="F201" s="25" t="s">
        <v>33</v>
      </c>
      <c r="G201" s="36"/>
      <c r="H201" s="25"/>
      <c r="I201" s="26">
        <f>+I14</f>
        <v>544</v>
      </c>
      <c r="J201" s="26">
        <f t="shared" ref="J201:P201" si="229">+J14</f>
        <v>0</v>
      </c>
      <c r="K201" s="26">
        <f t="shared" si="229"/>
        <v>0</v>
      </c>
      <c r="L201" s="26">
        <f t="shared" si="229"/>
        <v>0</v>
      </c>
      <c r="M201" s="26">
        <f t="shared" si="229"/>
        <v>0</v>
      </c>
      <c r="N201" s="26">
        <f t="shared" si="229"/>
        <v>0</v>
      </c>
      <c r="O201" s="26">
        <f t="shared" si="229"/>
        <v>0</v>
      </c>
      <c r="P201" s="26">
        <f t="shared" si="229"/>
        <v>0</v>
      </c>
    </row>
    <row r="202" spans="1:16" ht="20.25" customHeight="1">
      <c r="B202" s="38"/>
      <c r="C202" s="39"/>
      <c r="D202" s="36"/>
      <c r="E202" s="36"/>
      <c r="F202" s="25" t="s">
        <v>52</v>
      </c>
      <c r="G202" s="36"/>
      <c r="H202" s="25"/>
      <c r="I202" s="26">
        <f>+I20</f>
        <v>217</v>
      </c>
      <c r="J202" s="26">
        <f t="shared" ref="J202:P202" si="230">+J20</f>
        <v>0</v>
      </c>
      <c r="K202" s="26">
        <f t="shared" si="230"/>
        <v>0</v>
      </c>
      <c r="L202" s="26">
        <f t="shared" si="230"/>
        <v>0</v>
      </c>
      <c r="M202" s="26">
        <f t="shared" si="230"/>
        <v>0</v>
      </c>
      <c r="N202" s="26">
        <f t="shared" si="230"/>
        <v>0</v>
      </c>
      <c r="O202" s="26">
        <f t="shared" si="230"/>
        <v>0</v>
      </c>
      <c r="P202" s="26">
        <f t="shared" si="230"/>
        <v>0</v>
      </c>
    </row>
    <row r="203" spans="1:16" ht="20.25" customHeight="1">
      <c r="B203" s="38"/>
      <c r="C203" s="39"/>
      <c r="D203" s="36"/>
      <c r="E203" s="36"/>
      <c r="F203" s="25" t="s">
        <v>35</v>
      </c>
      <c r="G203" s="36"/>
      <c r="H203" s="25"/>
      <c r="I203" s="26">
        <f>+I26</f>
        <v>217</v>
      </c>
      <c r="J203" s="26">
        <f t="shared" ref="J203:P203" si="231">+J26</f>
        <v>0</v>
      </c>
      <c r="K203" s="26">
        <f t="shared" si="231"/>
        <v>0</v>
      </c>
      <c r="L203" s="26">
        <f t="shared" si="231"/>
        <v>0</v>
      </c>
      <c r="M203" s="26">
        <f t="shared" si="231"/>
        <v>0</v>
      </c>
      <c r="N203" s="26">
        <f t="shared" si="231"/>
        <v>0</v>
      </c>
      <c r="O203" s="26">
        <f t="shared" si="231"/>
        <v>0</v>
      </c>
      <c r="P203" s="26">
        <f t="shared" si="231"/>
        <v>0</v>
      </c>
    </row>
    <row r="204" spans="1:16" ht="20.25" customHeight="1">
      <c r="B204" s="38"/>
      <c r="C204" s="39"/>
      <c r="D204" s="36"/>
      <c r="E204" s="36"/>
      <c r="F204" s="25" t="s">
        <v>36</v>
      </c>
      <c r="G204" s="36"/>
      <c r="H204" s="25"/>
      <c r="I204" s="26">
        <f>+I32</f>
        <v>328</v>
      </c>
      <c r="J204" s="26">
        <f t="shared" ref="J204:P204" si="232">+J32</f>
        <v>0</v>
      </c>
      <c r="K204" s="26">
        <f t="shared" si="232"/>
        <v>0</v>
      </c>
      <c r="L204" s="26">
        <f t="shared" si="232"/>
        <v>0</v>
      </c>
      <c r="M204" s="26">
        <f t="shared" si="232"/>
        <v>0</v>
      </c>
      <c r="N204" s="26">
        <f t="shared" si="232"/>
        <v>0</v>
      </c>
      <c r="O204" s="26">
        <f t="shared" si="232"/>
        <v>0</v>
      </c>
      <c r="P204" s="26">
        <f t="shared" si="232"/>
        <v>0</v>
      </c>
    </row>
    <row r="205" spans="1:16" ht="20.25" customHeight="1">
      <c r="B205" s="38"/>
      <c r="C205" s="39"/>
      <c r="D205" s="36"/>
      <c r="E205" s="36"/>
      <c r="F205" s="25" t="s">
        <v>38</v>
      </c>
      <c r="G205" s="36"/>
      <c r="H205" s="25"/>
      <c r="I205" s="26">
        <f>+I38</f>
        <v>328</v>
      </c>
      <c r="J205" s="26">
        <f t="shared" ref="J205:P205" si="233">+J38</f>
        <v>0</v>
      </c>
      <c r="K205" s="26">
        <f t="shared" si="233"/>
        <v>0</v>
      </c>
      <c r="L205" s="26">
        <f t="shared" si="233"/>
        <v>0</v>
      </c>
      <c r="M205" s="26">
        <f>+M38</f>
        <v>0</v>
      </c>
      <c r="N205" s="26">
        <f t="shared" si="233"/>
        <v>0</v>
      </c>
      <c r="O205" s="26">
        <f t="shared" si="233"/>
        <v>0</v>
      </c>
      <c r="P205" s="26">
        <f t="shared" si="233"/>
        <v>0</v>
      </c>
    </row>
    <row r="206" spans="1:16" ht="20.25" customHeight="1">
      <c r="B206" s="38"/>
      <c r="C206" s="37" t="s">
        <v>25</v>
      </c>
      <c r="D206" s="37"/>
      <c r="E206" s="37"/>
      <c r="F206" s="37"/>
      <c r="G206" s="37"/>
      <c r="H206" s="37"/>
      <c r="I206" s="27">
        <f>SUM(I200:I205)</f>
        <v>2178</v>
      </c>
      <c r="J206" s="27">
        <f t="shared" ref="J206" si="234">SUM(J200:J205)</f>
        <v>0</v>
      </c>
      <c r="K206" s="27">
        <f t="shared" ref="K206" si="235">SUM(K200:K205)</f>
        <v>0</v>
      </c>
      <c r="L206" s="27">
        <f t="shared" ref="L206" si="236">SUM(L200:L205)</f>
        <v>0</v>
      </c>
      <c r="M206" s="27">
        <f t="shared" ref="M206" si="237">SUM(M200:M205)</f>
        <v>0</v>
      </c>
      <c r="N206" s="27">
        <f t="shared" ref="N206" si="238">SUM(N200:N205)</f>
        <v>0</v>
      </c>
      <c r="O206" s="27">
        <f t="shared" ref="O206" si="239">SUM(O200:O205)</f>
        <v>0</v>
      </c>
      <c r="P206" s="27">
        <f t="shared" ref="P206" si="240">SUM(P200:P205)</f>
        <v>0</v>
      </c>
    </row>
    <row r="207" spans="1:16" ht="20.25" customHeight="1">
      <c r="B207" s="38" t="s">
        <v>31</v>
      </c>
      <c r="C207" s="39" t="s">
        <v>30</v>
      </c>
      <c r="D207" s="36" t="s">
        <v>32</v>
      </c>
      <c r="E207" s="36" t="s">
        <v>26</v>
      </c>
      <c r="F207" s="25" t="s">
        <v>19</v>
      </c>
      <c r="G207" s="36"/>
      <c r="H207" s="25"/>
      <c r="I207" s="26">
        <f>+I45</f>
        <v>135</v>
      </c>
      <c r="J207" s="26">
        <f t="shared" ref="J207:P207" si="241">+J45</f>
        <v>0</v>
      </c>
      <c r="K207" s="26">
        <f t="shared" si="241"/>
        <v>0</v>
      </c>
      <c r="L207" s="26">
        <f t="shared" si="241"/>
        <v>0</v>
      </c>
      <c r="M207" s="26">
        <f t="shared" si="241"/>
        <v>0</v>
      </c>
      <c r="N207" s="26">
        <f t="shared" si="241"/>
        <v>0</v>
      </c>
      <c r="O207" s="26">
        <f t="shared" si="241"/>
        <v>0</v>
      </c>
      <c r="P207" s="26">
        <f t="shared" si="241"/>
        <v>0</v>
      </c>
    </row>
    <row r="208" spans="1:16" ht="20.25" customHeight="1">
      <c r="B208" s="38"/>
      <c r="C208" s="39"/>
      <c r="D208" s="36"/>
      <c r="E208" s="36"/>
      <c r="F208" s="25" t="s">
        <v>33</v>
      </c>
      <c r="G208" s="36"/>
      <c r="H208" s="25"/>
      <c r="I208" s="26">
        <f>+I51</f>
        <v>135</v>
      </c>
      <c r="J208" s="26">
        <f t="shared" ref="J208:P208" si="242">+J51</f>
        <v>0</v>
      </c>
      <c r="K208" s="26">
        <f t="shared" si="242"/>
        <v>0</v>
      </c>
      <c r="L208" s="26">
        <f t="shared" si="242"/>
        <v>0</v>
      </c>
      <c r="M208" s="26">
        <f t="shared" si="242"/>
        <v>0</v>
      </c>
      <c r="N208" s="26">
        <f t="shared" si="242"/>
        <v>0</v>
      </c>
      <c r="O208" s="26">
        <f t="shared" si="242"/>
        <v>0</v>
      </c>
      <c r="P208" s="26">
        <f t="shared" si="242"/>
        <v>0</v>
      </c>
    </row>
    <row r="209" spans="2:16" ht="20.25" customHeight="1">
      <c r="B209" s="38"/>
      <c r="C209" s="39"/>
      <c r="D209" s="36"/>
      <c r="E209" s="36"/>
      <c r="F209" s="25" t="s">
        <v>52</v>
      </c>
      <c r="G209" s="36"/>
      <c r="H209" s="25"/>
      <c r="I209" s="26">
        <f>+I57</f>
        <v>55</v>
      </c>
      <c r="J209" s="26">
        <f t="shared" ref="J209:P209" si="243">+J57</f>
        <v>0</v>
      </c>
      <c r="K209" s="26">
        <f t="shared" si="243"/>
        <v>0</v>
      </c>
      <c r="L209" s="26">
        <f t="shared" si="243"/>
        <v>0</v>
      </c>
      <c r="M209" s="26">
        <f t="shared" si="243"/>
        <v>0</v>
      </c>
      <c r="N209" s="26">
        <f t="shared" si="243"/>
        <v>0</v>
      </c>
      <c r="O209" s="26">
        <f t="shared" si="243"/>
        <v>0</v>
      </c>
      <c r="P209" s="26">
        <f t="shared" si="243"/>
        <v>0</v>
      </c>
    </row>
    <row r="210" spans="2:16" ht="20.25" customHeight="1">
      <c r="B210" s="38"/>
      <c r="C210" s="39"/>
      <c r="D210" s="36"/>
      <c r="E210" s="36"/>
      <c r="F210" s="25" t="s">
        <v>35</v>
      </c>
      <c r="G210" s="36"/>
      <c r="H210" s="25"/>
      <c r="I210" s="26">
        <f>+I63</f>
        <v>55</v>
      </c>
      <c r="J210" s="26">
        <f t="shared" ref="J210:P210" si="244">+J63</f>
        <v>0</v>
      </c>
      <c r="K210" s="26">
        <f t="shared" si="244"/>
        <v>0</v>
      </c>
      <c r="L210" s="26">
        <f t="shared" si="244"/>
        <v>0</v>
      </c>
      <c r="M210" s="26">
        <f t="shared" si="244"/>
        <v>0</v>
      </c>
      <c r="N210" s="26">
        <f t="shared" si="244"/>
        <v>0</v>
      </c>
      <c r="O210" s="26">
        <f t="shared" si="244"/>
        <v>0</v>
      </c>
      <c r="P210" s="26">
        <f t="shared" si="244"/>
        <v>0</v>
      </c>
    </row>
    <row r="211" spans="2:16" ht="20.25" customHeight="1">
      <c r="B211" s="38"/>
      <c r="C211" s="39"/>
      <c r="D211" s="36"/>
      <c r="E211" s="36"/>
      <c r="F211" s="25" t="s">
        <v>36</v>
      </c>
      <c r="G211" s="36"/>
      <c r="H211" s="25"/>
      <c r="I211" s="26">
        <f>+I69</f>
        <v>82</v>
      </c>
      <c r="J211" s="26">
        <f t="shared" ref="J211:P211" si="245">+J69</f>
        <v>0</v>
      </c>
      <c r="K211" s="26">
        <f t="shared" si="245"/>
        <v>0</v>
      </c>
      <c r="L211" s="26">
        <f t="shared" si="245"/>
        <v>0</v>
      </c>
      <c r="M211" s="26">
        <f t="shared" si="245"/>
        <v>0</v>
      </c>
      <c r="N211" s="26">
        <f t="shared" si="245"/>
        <v>0</v>
      </c>
      <c r="O211" s="26">
        <f t="shared" si="245"/>
        <v>0</v>
      </c>
      <c r="P211" s="26">
        <f t="shared" si="245"/>
        <v>0</v>
      </c>
    </row>
    <row r="212" spans="2:16" ht="20.25" customHeight="1">
      <c r="B212" s="38"/>
      <c r="C212" s="39"/>
      <c r="D212" s="36"/>
      <c r="E212" s="36"/>
      <c r="F212" s="25" t="s">
        <v>38</v>
      </c>
      <c r="G212" s="36"/>
      <c r="H212" s="25"/>
      <c r="I212" s="26">
        <f>+I75</f>
        <v>82</v>
      </c>
      <c r="J212" s="26">
        <f t="shared" ref="J212:P212" si="246">+J75</f>
        <v>0</v>
      </c>
      <c r="K212" s="26">
        <f t="shared" si="246"/>
        <v>0</v>
      </c>
      <c r="L212" s="26">
        <f t="shared" si="246"/>
        <v>0</v>
      </c>
      <c r="M212" s="26">
        <f t="shared" si="246"/>
        <v>0</v>
      </c>
      <c r="N212" s="26">
        <f t="shared" si="246"/>
        <v>0</v>
      </c>
      <c r="O212" s="26">
        <f t="shared" si="246"/>
        <v>0</v>
      </c>
      <c r="P212" s="26">
        <f t="shared" si="246"/>
        <v>0</v>
      </c>
    </row>
    <row r="213" spans="2:16" ht="20.25" customHeight="1">
      <c r="B213" s="38"/>
      <c r="C213" s="37" t="s">
        <v>25</v>
      </c>
      <c r="D213" s="37"/>
      <c r="E213" s="37"/>
      <c r="F213" s="37"/>
      <c r="G213" s="37"/>
      <c r="H213" s="37"/>
      <c r="I213" s="27">
        <f>SUM(I207:I212)</f>
        <v>544</v>
      </c>
      <c r="J213" s="27">
        <f t="shared" ref="J213" si="247">SUM(J207:J212)</f>
        <v>0</v>
      </c>
      <c r="K213" s="27">
        <f t="shared" ref="K213" si="248">SUM(K207:K212)</f>
        <v>0</v>
      </c>
      <c r="L213" s="27">
        <f t="shared" ref="L213" si="249">SUM(L207:L212)</f>
        <v>0</v>
      </c>
      <c r="M213" s="27">
        <f t="shared" ref="M213" si="250">SUM(M207:M212)</f>
        <v>0</v>
      </c>
      <c r="N213" s="27">
        <f t="shared" ref="N213" si="251">SUM(N207:N212)</f>
        <v>0</v>
      </c>
      <c r="O213" s="27">
        <f t="shared" ref="O213" si="252">SUM(O207:O212)</f>
        <v>0</v>
      </c>
      <c r="P213" s="27">
        <f t="shared" ref="P213" si="253">SUM(P207:P212)</f>
        <v>0</v>
      </c>
    </row>
    <row r="214" spans="2:16" ht="20.25" customHeight="1">
      <c r="B214" s="38" t="s">
        <v>31</v>
      </c>
      <c r="C214" s="39" t="s">
        <v>30</v>
      </c>
      <c r="D214" s="36" t="s">
        <v>53</v>
      </c>
      <c r="E214" s="36" t="s">
        <v>18</v>
      </c>
      <c r="F214" s="25" t="s">
        <v>19</v>
      </c>
      <c r="G214" s="36"/>
      <c r="H214" s="25"/>
      <c r="I214" s="26">
        <f>+I83</f>
        <v>144</v>
      </c>
      <c r="J214" s="26">
        <f t="shared" ref="J214:P214" si="254">+J83</f>
        <v>0</v>
      </c>
      <c r="K214" s="26">
        <f t="shared" si="254"/>
        <v>0</v>
      </c>
      <c r="L214" s="26">
        <f t="shared" si="254"/>
        <v>0</v>
      </c>
      <c r="M214" s="26">
        <f t="shared" si="254"/>
        <v>0</v>
      </c>
      <c r="N214" s="26">
        <f t="shared" si="254"/>
        <v>0</v>
      </c>
      <c r="O214" s="26">
        <f t="shared" si="254"/>
        <v>0</v>
      </c>
      <c r="P214" s="26">
        <f t="shared" si="254"/>
        <v>0</v>
      </c>
    </row>
    <row r="215" spans="2:16" ht="20.25" customHeight="1">
      <c r="B215" s="38"/>
      <c r="C215" s="39"/>
      <c r="D215" s="36"/>
      <c r="E215" s="36"/>
      <c r="F215" s="25" t="s">
        <v>33</v>
      </c>
      <c r="G215" s="36"/>
      <c r="H215" s="25"/>
      <c r="I215" s="26"/>
      <c r="J215" s="26"/>
      <c r="K215" s="26"/>
      <c r="L215" s="26"/>
      <c r="M215" s="26"/>
      <c r="N215" s="26"/>
      <c r="O215" s="26"/>
      <c r="P215" s="26"/>
    </row>
    <row r="216" spans="2:16" ht="20.25" customHeight="1">
      <c r="B216" s="38"/>
      <c r="C216" s="39"/>
      <c r="D216" s="36"/>
      <c r="E216" s="36"/>
      <c r="F216" s="25" t="s">
        <v>52</v>
      </c>
      <c r="G216" s="36"/>
      <c r="H216" s="25"/>
      <c r="I216" s="26">
        <f>+I89</f>
        <v>144</v>
      </c>
      <c r="J216" s="26">
        <f t="shared" ref="J216:P216" si="255">+J89</f>
        <v>0</v>
      </c>
      <c r="K216" s="26">
        <f t="shared" si="255"/>
        <v>0</v>
      </c>
      <c r="L216" s="26">
        <f t="shared" si="255"/>
        <v>0</v>
      </c>
      <c r="M216" s="26">
        <f t="shared" si="255"/>
        <v>0</v>
      </c>
      <c r="N216" s="26">
        <f t="shared" si="255"/>
        <v>0</v>
      </c>
      <c r="O216" s="26">
        <f t="shared" si="255"/>
        <v>0</v>
      </c>
      <c r="P216" s="26">
        <f t="shared" si="255"/>
        <v>0</v>
      </c>
    </row>
    <row r="217" spans="2:16" ht="20.25" customHeight="1">
      <c r="B217" s="38"/>
      <c r="C217" s="39"/>
      <c r="D217" s="36"/>
      <c r="E217" s="36"/>
      <c r="F217" s="25" t="s">
        <v>35</v>
      </c>
      <c r="G217" s="36"/>
      <c r="H217" s="25"/>
      <c r="I217" s="26">
        <f>+I95</f>
        <v>144</v>
      </c>
      <c r="J217" s="26">
        <f t="shared" ref="J217:P217" si="256">+J95</f>
        <v>0</v>
      </c>
      <c r="K217" s="26">
        <f t="shared" si="256"/>
        <v>0</v>
      </c>
      <c r="L217" s="26">
        <f t="shared" si="256"/>
        <v>0</v>
      </c>
      <c r="M217" s="26">
        <f t="shared" si="256"/>
        <v>0</v>
      </c>
      <c r="N217" s="26">
        <f t="shared" si="256"/>
        <v>0</v>
      </c>
      <c r="O217" s="26">
        <f t="shared" si="256"/>
        <v>0</v>
      </c>
      <c r="P217" s="26">
        <f t="shared" si="256"/>
        <v>0</v>
      </c>
    </row>
    <row r="218" spans="2:16" ht="20.25" customHeight="1">
      <c r="B218" s="38"/>
      <c r="C218" s="39"/>
      <c r="D218" s="36"/>
      <c r="E218" s="36"/>
      <c r="F218" s="25" t="s">
        <v>36</v>
      </c>
      <c r="G218" s="36"/>
      <c r="H218" s="25"/>
      <c r="I218" s="26">
        <f>+I101</f>
        <v>144</v>
      </c>
      <c r="J218" s="26">
        <f t="shared" ref="J218:P218" si="257">+J101</f>
        <v>0</v>
      </c>
      <c r="K218" s="26">
        <f t="shared" si="257"/>
        <v>0</v>
      </c>
      <c r="L218" s="26">
        <f t="shared" si="257"/>
        <v>0</v>
      </c>
      <c r="M218" s="26">
        <f t="shared" si="257"/>
        <v>0</v>
      </c>
      <c r="N218" s="26">
        <f t="shared" si="257"/>
        <v>0</v>
      </c>
      <c r="O218" s="26">
        <f t="shared" si="257"/>
        <v>0</v>
      </c>
      <c r="P218" s="26">
        <f t="shared" si="257"/>
        <v>0</v>
      </c>
    </row>
    <row r="219" spans="2:16" ht="20.25" customHeight="1">
      <c r="B219" s="38"/>
      <c r="C219" s="39"/>
      <c r="D219" s="36"/>
      <c r="E219" s="36"/>
      <c r="F219" s="25" t="s">
        <v>38</v>
      </c>
      <c r="G219" s="36"/>
      <c r="H219" s="25"/>
      <c r="I219" s="26">
        <f>+I107</f>
        <v>144</v>
      </c>
      <c r="J219" s="26">
        <f t="shared" ref="J219:P219" si="258">+J107</f>
        <v>0</v>
      </c>
      <c r="K219" s="26">
        <f t="shared" si="258"/>
        <v>0</v>
      </c>
      <c r="L219" s="26">
        <f t="shared" si="258"/>
        <v>0</v>
      </c>
      <c r="M219" s="26">
        <f t="shared" si="258"/>
        <v>0</v>
      </c>
      <c r="N219" s="26">
        <f t="shared" si="258"/>
        <v>0</v>
      </c>
      <c r="O219" s="26">
        <f t="shared" si="258"/>
        <v>0</v>
      </c>
      <c r="P219" s="26">
        <f t="shared" si="258"/>
        <v>0</v>
      </c>
    </row>
    <row r="220" spans="2:16" ht="20.25" customHeight="1">
      <c r="B220" s="38"/>
      <c r="C220" s="37" t="s">
        <v>25</v>
      </c>
      <c r="D220" s="37"/>
      <c r="E220" s="37"/>
      <c r="F220" s="37"/>
      <c r="G220" s="37"/>
      <c r="H220" s="37"/>
      <c r="I220" s="27">
        <f>SUM(I214:I219)</f>
        <v>720</v>
      </c>
      <c r="J220" s="27">
        <f t="shared" ref="J220" si="259">SUM(J214:J219)</f>
        <v>0</v>
      </c>
      <c r="K220" s="27">
        <f t="shared" ref="K220" si="260">SUM(K214:K219)</f>
        <v>0</v>
      </c>
      <c r="L220" s="27">
        <f t="shared" ref="L220" si="261">SUM(L214:L219)</f>
        <v>0</v>
      </c>
      <c r="M220" s="27">
        <f t="shared" ref="M220" si="262">SUM(M214:M219)</f>
        <v>0</v>
      </c>
      <c r="N220" s="27">
        <f t="shared" ref="N220" si="263">SUM(N214:N219)</f>
        <v>0</v>
      </c>
      <c r="O220" s="27">
        <f t="shared" ref="O220" si="264">SUM(O214:O219)</f>
        <v>0</v>
      </c>
      <c r="P220" s="27">
        <f t="shared" ref="P220" si="265">SUM(P214:P219)</f>
        <v>0</v>
      </c>
    </row>
    <row r="221" spans="2:16" ht="20.25" customHeight="1">
      <c r="B221" s="38" t="s">
        <v>31</v>
      </c>
      <c r="C221" s="39" t="s">
        <v>30</v>
      </c>
      <c r="D221" s="36" t="s">
        <v>54</v>
      </c>
      <c r="E221" s="36" t="s">
        <v>18</v>
      </c>
      <c r="F221" s="25" t="s">
        <v>19</v>
      </c>
      <c r="G221" s="36"/>
      <c r="H221" s="25"/>
      <c r="I221" s="26">
        <f>+I114</f>
        <v>202</v>
      </c>
      <c r="J221" s="26">
        <f t="shared" ref="J221:P221" si="266">+J114</f>
        <v>0</v>
      </c>
      <c r="K221" s="26">
        <f t="shared" si="266"/>
        <v>0</v>
      </c>
      <c r="L221" s="26">
        <f t="shared" si="266"/>
        <v>0</v>
      </c>
      <c r="M221" s="26">
        <f t="shared" si="266"/>
        <v>0</v>
      </c>
      <c r="N221" s="26">
        <f t="shared" si="266"/>
        <v>0</v>
      </c>
      <c r="O221" s="26">
        <f t="shared" si="266"/>
        <v>0</v>
      </c>
      <c r="P221" s="26">
        <f t="shared" si="266"/>
        <v>0</v>
      </c>
    </row>
    <row r="222" spans="2:16" ht="20.25" customHeight="1">
      <c r="B222" s="38"/>
      <c r="C222" s="39"/>
      <c r="D222" s="36"/>
      <c r="E222" s="36"/>
      <c r="F222" s="25" t="s">
        <v>33</v>
      </c>
      <c r="G222" s="36"/>
      <c r="H222" s="25"/>
      <c r="I222" s="26">
        <f>+I120</f>
        <v>167</v>
      </c>
      <c r="J222" s="26">
        <f t="shared" ref="J222:P222" si="267">+J120</f>
        <v>0</v>
      </c>
      <c r="K222" s="26">
        <f t="shared" si="267"/>
        <v>0</v>
      </c>
      <c r="L222" s="26">
        <f t="shared" si="267"/>
        <v>0</v>
      </c>
      <c r="M222" s="26">
        <f t="shared" si="267"/>
        <v>0</v>
      </c>
      <c r="N222" s="26">
        <f t="shared" si="267"/>
        <v>0</v>
      </c>
      <c r="O222" s="26">
        <f t="shared" si="267"/>
        <v>0</v>
      </c>
      <c r="P222" s="26">
        <f t="shared" si="267"/>
        <v>0</v>
      </c>
    </row>
    <row r="223" spans="2:16" ht="20.25" customHeight="1">
      <c r="B223" s="38"/>
      <c r="C223" s="39"/>
      <c r="D223" s="36"/>
      <c r="E223" s="36"/>
      <c r="F223" s="25" t="s">
        <v>52</v>
      </c>
      <c r="G223" s="36"/>
      <c r="H223" s="25"/>
      <c r="I223" s="26">
        <f>+I126</f>
        <v>163</v>
      </c>
      <c r="J223" s="26">
        <f t="shared" ref="J223:P223" si="268">+J126</f>
        <v>0</v>
      </c>
      <c r="K223" s="26">
        <f t="shared" si="268"/>
        <v>0</v>
      </c>
      <c r="L223" s="26">
        <f t="shared" si="268"/>
        <v>0</v>
      </c>
      <c r="M223" s="26">
        <f t="shared" si="268"/>
        <v>0</v>
      </c>
      <c r="N223" s="26">
        <f t="shared" si="268"/>
        <v>0</v>
      </c>
      <c r="O223" s="26">
        <f t="shared" si="268"/>
        <v>0</v>
      </c>
      <c r="P223" s="26">
        <f t="shared" si="268"/>
        <v>0</v>
      </c>
    </row>
    <row r="224" spans="2:16" ht="20.25" customHeight="1">
      <c r="B224" s="38"/>
      <c r="C224" s="39"/>
      <c r="D224" s="36"/>
      <c r="E224" s="36"/>
      <c r="F224" s="25" t="s">
        <v>35</v>
      </c>
      <c r="G224" s="36"/>
      <c r="H224" s="25"/>
      <c r="I224" s="26">
        <f>+I132</f>
        <v>40</v>
      </c>
      <c r="J224" s="26">
        <f t="shared" ref="J224:P224" si="269">+J132</f>
        <v>0</v>
      </c>
      <c r="K224" s="26">
        <f t="shared" si="269"/>
        <v>0</v>
      </c>
      <c r="L224" s="26">
        <f t="shared" si="269"/>
        <v>0</v>
      </c>
      <c r="M224" s="26">
        <f t="shared" si="269"/>
        <v>0</v>
      </c>
      <c r="N224" s="26">
        <f t="shared" si="269"/>
        <v>0</v>
      </c>
      <c r="O224" s="26">
        <f t="shared" si="269"/>
        <v>0</v>
      </c>
      <c r="P224" s="26">
        <f t="shared" si="269"/>
        <v>0</v>
      </c>
    </row>
    <row r="225" spans="2:16" ht="20.25" customHeight="1">
      <c r="B225" s="38"/>
      <c r="C225" s="39"/>
      <c r="D225" s="36"/>
      <c r="E225" s="36"/>
      <c r="F225" s="25" t="s">
        <v>36</v>
      </c>
      <c r="G225" s="36"/>
      <c r="H225" s="25"/>
      <c r="I225" s="26">
        <f>+I138</f>
        <v>137</v>
      </c>
      <c r="J225" s="26">
        <f t="shared" ref="J225:P225" si="270">+J138</f>
        <v>0</v>
      </c>
      <c r="K225" s="26">
        <f t="shared" si="270"/>
        <v>0</v>
      </c>
      <c r="L225" s="26">
        <f t="shared" si="270"/>
        <v>0</v>
      </c>
      <c r="M225" s="26">
        <f t="shared" si="270"/>
        <v>0</v>
      </c>
      <c r="N225" s="26">
        <f t="shared" si="270"/>
        <v>0</v>
      </c>
      <c r="O225" s="26">
        <f t="shared" si="270"/>
        <v>0</v>
      </c>
      <c r="P225" s="26">
        <f t="shared" si="270"/>
        <v>0</v>
      </c>
    </row>
    <row r="226" spans="2:16" ht="20.25" customHeight="1">
      <c r="B226" s="38"/>
      <c r="C226" s="39"/>
      <c r="D226" s="36"/>
      <c r="E226" s="36"/>
      <c r="F226" s="25" t="s">
        <v>38</v>
      </c>
      <c r="G226" s="36"/>
      <c r="H226" s="25"/>
      <c r="I226" s="26">
        <f>+I144</f>
        <v>157</v>
      </c>
      <c r="J226" s="26">
        <f t="shared" ref="J226:P226" si="271">+J144</f>
        <v>0</v>
      </c>
      <c r="K226" s="26">
        <f t="shared" si="271"/>
        <v>0</v>
      </c>
      <c r="L226" s="26">
        <f t="shared" si="271"/>
        <v>0</v>
      </c>
      <c r="M226" s="26">
        <f t="shared" si="271"/>
        <v>0</v>
      </c>
      <c r="N226" s="26">
        <f t="shared" si="271"/>
        <v>0</v>
      </c>
      <c r="O226" s="26">
        <f t="shared" si="271"/>
        <v>0</v>
      </c>
      <c r="P226" s="26">
        <f t="shared" si="271"/>
        <v>0</v>
      </c>
    </row>
    <row r="227" spans="2:16" ht="20.25" customHeight="1">
      <c r="B227" s="38"/>
      <c r="C227" s="37" t="s">
        <v>25</v>
      </c>
      <c r="D227" s="37"/>
      <c r="E227" s="37"/>
      <c r="F227" s="37"/>
      <c r="G227" s="37"/>
      <c r="H227" s="37"/>
      <c r="I227" s="27">
        <f>SUM(I221:I226)</f>
        <v>866</v>
      </c>
      <c r="J227" s="27">
        <f t="shared" ref="J227" si="272">SUM(J221:J226)</f>
        <v>0</v>
      </c>
      <c r="K227" s="27">
        <f t="shared" ref="K227" si="273">SUM(K221:K226)</f>
        <v>0</v>
      </c>
      <c r="L227" s="27">
        <f t="shared" ref="L227" si="274">SUM(L221:L226)</f>
        <v>0</v>
      </c>
      <c r="M227" s="27">
        <f t="shared" ref="M227" si="275">SUM(M221:M226)</f>
        <v>0</v>
      </c>
      <c r="N227" s="27">
        <f t="shared" ref="N227" si="276">SUM(N221:N226)</f>
        <v>0</v>
      </c>
      <c r="O227" s="27">
        <f t="shared" ref="O227" si="277">SUM(O221:O226)</f>
        <v>0</v>
      </c>
      <c r="P227" s="27">
        <f t="shared" ref="P227" si="278">SUM(P221:P226)</f>
        <v>0</v>
      </c>
    </row>
    <row r="228" spans="2:16" ht="20.25" customHeight="1">
      <c r="B228" s="38" t="s">
        <v>31</v>
      </c>
      <c r="C228" s="39" t="s">
        <v>30</v>
      </c>
      <c r="D228" s="36" t="s">
        <v>55</v>
      </c>
      <c r="E228" s="36" t="s">
        <v>18</v>
      </c>
      <c r="F228" s="25" t="s">
        <v>19</v>
      </c>
      <c r="G228" s="36"/>
      <c r="H228" s="25"/>
      <c r="I228" s="26">
        <f>+I151</f>
        <v>120</v>
      </c>
      <c r="J228" s="26">
        <f t="shared" ref="J228:P228" si="279">+J151</f>
        <v>0</v>
      </c>
      <c r="K228" s="26">
        <f t="shared" si="279"/>
        <v>0</v>
      </c>
      <c r="L228" s="26">
        <f t="shared" si="279"/>
        <v>0</v>
      </c>
      <c r="M228" s="26">
        <f t="shared" si="279"/>
        <v>0</v>
      </c>
      <c r="N228" s="26">
        <f t="shared" si="279"/>
        <v>0</v>
      </c>
      <c r="O228" s="26">
        <f t="shared" si="279"/>
        <v>0</v>
      </c>
      <c r="P228" s="26">
        <f t="shared" si="279"/>
        <v>0</v>
      </c>
    </row>
    <row r="229" spans="2:16" ht="20.25" customHeight="1">
      <c r="B229" s="38"/>
      <c r="C229" s="39"/>
      <c r="D229" s="36"/>
      <c r="E229" s="36"/>
      <c r="F229" s="25" t="s">
        <v>33</v>
      </c>
      <c r="G229" s="36"/>
      <c r="H229" s="25"/>
      <c r="I229" s="26">
        <f>+I157</f>
        <v>162</v>
      </c>
      <c r="J229" s="26">
        <f t="shared" ref="J229:P229" si="280">+J157</f>
        <v>0</v>
      </c>
      <c r="K229" s="26">
        <f t="shared" si="280"/>
        <v>0</v>
      </c>
      <c r="L229" s="26">
        <f t="shared" si="280"/>
        <v>0</v>
      </c>
      <c r="M229" s="26">
        <f t="shared" si="280"/>
        <v>0</v>
      </c>
      <c r="N229" s="26">
        <f t="shared" si="280"/>
        <v>0</v>
      </c>
      <c r="O229" s="26">
        <f t="shared" si="280"/>
        <v>0</v>
      </c>
      <c r="P229" s="26">
        <f t="shared" si="280"/>
        <v>0</v>
      </c>
    </row>
    <row r="230" spans="2:16" ht="20.25" customHeight="1">
      <c r="B230" s="38"/>
      <c r="C230" s="39"/>
      <c r="D230" s="36"/>
      <c r="E230" s="36"/>
      <c r="F230" s="25" t="s">
        <v>52</v>
      </c>
      <c r="G230" s="36"/>
      <c r="H230" s="25"/>
      <c r="I230" s="26">
        <f>+I163</f>
        <v>96</v>
      </c>
      <c r="J230" s="26">
        <f t="shared" ref="J230:P230" si="281">+J163</f>
        <v>0</v>
      </c>
      <c r="K230" s="26">
        <f t="shared" si="281"/>
        <v>0</v>
      </c>
      <c r="L230" s="26">
        <f t="shared" si="281"/>
        <v>0</v>
      </c>
      <c r="M230" s="26">
        <f t="shared" si="281"/>
        <v>0</v>
      </c>
      <c r="N230" s="26">
        <f t="shared" si="281"/>
        <v>0</v>
      </c>
      <c r="O230" s="26">
        <f t="shared" si="281"/>
        <v>0</v>
      </c>
      <c r="P230" s="26">
        <f t="shared" si="281"/>
        <v>0</v>
      </c>
    </row>
    <row r="231" spans="2:16" ht="20.25" customHeight="1">
      <c r="B231" s="38"/>
      <c r="C231" s="39"/>
      <c r="D231" s="36"/>
      <c r="E231" s="36"/>
      <c r="F231" s="25" t="s">
        <v>35</v>
      </c>
      <c r="G231" s="36"/>
      <c r="H231" s="25"/>
      <c r="I231" s="26">
        <f>+I169</f>
        <v>78</v>
      </c>
      <c r="J231" s="26">
        <f t="shared" ref="J231:P231" si="282">+J169</f>
        <v>0</v>
      </c>
      <c r="K231" s="26">
        <f t="shared" si="282"/>
        <v>0</v>
      </c>
      <c r="L231" s="26">
        <f t="shared" si="282"/>
        <v>0</v>
      </c>
      <c r="M231" s="26">
        <f t="shared" si="282"/>
        <v>0</v>
      </c>
      <c r="N231" s="26">
        <f t="shared" si="282"/>
        <v>0</v>
      </c>
      <c r="O231" s="26">
        <f t="shared" si="282"/>
        <v>0</v>
      </c>
      <c r="P231" s="26">
        <f t="shared" si="282"/>
        <v>0</v>
      </c>
    </row>
    <row r="232" spans="2:16" ht="20.25" customHeight="1">
      <c r="B232" s="38"/>
      <c r="C232" s="39"/>
      <c r="D232" s="36"/>
      <c r="E232" s="36"/>
      <c r="F232" s="25" t="s">
        <v>36</v>
      </c>
      <c r="G232" s="36"/>
      <c r="H232" s="25"/>
      <c r="I232" s="26">
        <f>+I176</f>
        <v>30</v>
      </c>
      <c r="J232" s="26">
        <f t="shared" ref="J232:P232" si="283">+J176</f>
        <v>0</v>
      </c>
      <c r="K232" s="26">
        <f t="shared" si="283"/>
        <v>0</v>
      </c>
      <c r="L232" s="26">
        <f t="shared" si="283"/>
        <v>0</v>
      </c>
      <c r="M232" s="26">
        <f t="shared" si="283"/>
        <v>0</v>
      </c>
      <c r="N232" s="26">
        <f t="shared" si="283"/>
        <v>0</v>
      </c>
      <c r="O232" s="26">
        <f t="shared" si="283"/>
        <v>0</v>
      </c>
      <c r="P232" s="26">
        <f t="shared" si="283"/>
        <v>0</v>
      </c>
    </row>
    <row r="233" spans="2:16" ht="20.25" customHeight="1">
      <c r="B233" s="38"/>
      <c r="C233" s="39"/>
      <c r="D233" s="36"/>
      <c r="E233" s="36"/>
      <c r="F233" s="25" t="s">
        <v>38</v>
      </c>
      <c r="G233" s="36"/>
      <c r="H233" s="25"/>
      <c r="I233" s="26"/>
      <c r="J233" s="26"/>
      <c r="K233" s="26"/>
      <c r="L233" s="26"/>
      <c r="M233" s="26"/>
      <c r="N233" s="26"/>
      <c r="O233" s="26"/>
      <c r="P233" s="26"/>
    </row>
    <row r="234" spans="2:16" ht="20.25" customHeight="1">
      <c r="B234" s="38"/>
      <c r="C234" s="37" t="s">
        <v>25</v>
      </c>
      <c r="D234" s="37"/>
      <c r="E234" s="37"/>
      <c r="F234" s="37"/>
      <c r="G234" s="37"/>
      <c r="H234" s="37"/>
      <c r="I234" s="27">
        <f>SUM(I228:I233)</f>
        <v>486</v>
      </c>
      <c r="J234" s="27">
        <f t="shared" ref="J234" si="284">SUM(J228:J233)</f>
        <v>0</v>
      </c>
      <c r="K234" s="27">
        <f t="shared" ref="K234" si="285">SUM(K228:K233)</f>
        <v>0</v>
      </c>
      <c r="L234" s="27">
        <f t="shared" ref="L234" si="286">SUM(L228:L233)</f>
        <v>0</v>
      </c>
      <c r="M234" s="27">
        <f t="shared" ref="M234" si="287">SUM(M228:M233)</f>
        <v>0</v>
      </c>
      <c r="N234" s="27">
        <f t="shared" ref="N234" si="288">SUM(N228:N233)</f>
        <v>0</v>
      </c>
      <c r="O234" s="27">
        <f t="shared" ref="O234" si="289">SUM(O228:O233)</f>
        <v>0</v>
      </c>
      <c r="P234" s="27">
        <f t="shared" ref="P234" si="290">SUM(P228:P233)</f>
        <v>0</v>
      </c>
    </row>
    <row r="235" spans="2:16" ht="20.25" customHeight="1">
      <c r="B235" s="38" t="s">
        <v>31</v>
      </c>
      <c r="C235" s="39" t="s">
        <v>30</v>
      </c>
      <c r="D235" s="36" t="s">
        <v>56</v>
      </c>
      <c r="E235" s="36" t="s">
        <v>18</v>
      </c>
      <c r="F235" s="25" t="s">
        <v>19</v>
      </c>
      <c r="G235" s="36"/>
      <c r="H235" s="25"/>
      <c r="I235" s="26">
        <f>+I183</f>
        <v>60</v>
      </c>
      <c r="J235" s="26">
        <f t="shared" ref="J235:P235" si="291">+J183</f>
        <v>0</v>
      </c>
      <c r="K235" s="26">
        <f t="shared" si="291"/>
        <v>0</v>
      </c>
      <c r="L235" s="26">
        <f t="shared" si="291"/>
        <v>0</v>
      </c>
      <c r="M235" s="26">
        <f t="shared" si="291"/>
        <v>0</v>
      </c>
      <c r="N235" s="26">
        <f t="shared" si="291"/>
        <v>0</v>
      </c>
      <c r="O235" s="26">
        <f t="shared" si="291"/>
        <v>0</v>
      </c>
      <c r="P235" s="26">
        <f t="shared" si="291"/>
        <v>0</v>
      </c>
    </row>
    <row r="236" spans="2:16" ht="20.25" customHeight="1">
      <c r="B236" s="38"/>
      <c r="C236" s="39"/>
      <c r="D236" s="36"/>
      <c r="E236" s="36"/>
      <c r="F236" s="25" t="s">
        <v>33</v>
      </c>
      <c r="G236" s="36"/>
      <c r="H236" s="25"/>
      <c r="I236" s="26"/>
      <c r="J236" s="26"/>
      <c r="K236" s="26"/>
      <c r="L236" s="26"/>
      <c r="M236" s="26"/>
      <c r="N236" s="26"/>
      <c r="O236" s="26"/>
      <c r="P236" s="26"/>
    </row>
    <row r="237" spans="2:16" ht="20.25" customHeight="1">
      <c r="B237" s="38"/>
      <c r="C237" s="39"/>
      <c r="D237" s="36"/>
      <c r="E237" s="36"/>
      <c r="F237" s="25" t="s">
        <v>52</v>
      </c>
      <c r="G237" s="36"/>
      <c r="H237" s="25"/>
      <c r="I237" s="26"/>
      <c r="J237" s="26"/>
      <c r="K237" s="26"/>
      <c r="L237" s="26"/>
      <c r="M237" s="26"/>
      <c r="N237" s="26"/>
      <c r="O237" s="26"/>
      <c r="P237" s="26"/>
    </row>
    <row r="238" spans="2:16" ht="20.25" customHeight="1">
      <c r="B238" s="38"/>
      <c r="C238" s="39"/>
      <c r="D238" s="36"/>
      <c r="E238" s="36"/>
      <c r="F238" s="25" t="s">
        <v>35</v>
      </c>
      <c r="G238" s="36"/>
      <c r="H238" s="25"/>
      <c r="I238" s="26">
        <f>+I189</f>
        <v>40</v>
      </c>
      <c r="J238" s="26">
        <f t="shared" ref="J238:P238" si="292">+J189</f>
        <v>0</v>
      </c>
      <c r="K238" s="26">
        <f t="shared" si="292"/>
        <v>0</v>
      </c>
      <c r="L238" s="26">
        <f t="shared" si="292"/>
        <v>0</v>
      </c>
      <c r="M238" s="26">
        <f t="shared" si="292"/>
        <v>0</v>
      </c>
      <c r="N238" s="26">
        <f t="shared" si="292"/>
        <v>0</v>
      </c>
      <c r="O238" s="26">
        <f t="shared" si="292"/>
        <v>0</v>
      </c>
      <c r="P238" s="26">
        <f t="shared" si="292"/>
        <v>0</v>
      </c>
    </row>
    <row r="239" spans="2:16" ht="20.25" customHeight="1">
      <c r="B239" s="38"/>
      <c r="C239" s="39"/>
      <c r="D239" s="36"/>
      <c r="E239" s="36"/>
      <c r="F239" s="25" t="s">
        <v>36</v>
      </c>
      <c r="G239" s="36"/>
      <c r="H239" s="25"/>
      <c r="I239" s="26"/>
      <c r="J239" s="26"/>
      <c r="K239" s="26"/>
      <c r="L239" s="26"/>
      <c r="M239" s="26"/>
      <c r="N239" s="26"/>
      <c r="O239" s="26"/>
      <c r="P239" s="26"/>
    </row>
    <row r="240" spans="2:16" ht="20.25" customHeight="1">
      <c r="B240" s="38"/>
      <c r="C240" s="39"/>
      <c r="D240" s="36"/>
      <c r="E240" s="36"/>
      <c r="F240" s="25" t="s">
        <v>38</v>
      </c>
      <c r="G240" s="36"/>
      <c r="H240" s="25"/>
      <c r="I240" s="26">
        <f>+I195</f>
        <v>60</v>
      </c>
      <c r="J240" s="26">
        <f t="shared" ref="J240:P240" si="293">+J195</f>
        <v>0</v>
      </c>
      <c r="K240" s="26">
        <f t="shared" si="293"/>
        <v>0</v>
      </c>
      <c r="L240" s="26">
        <f t="shared" si="293"/>
        <v>0</v>
      </c>
      <c r="M240" s="26">
        <f t="shared" si="293"/>
        <v>0</v>
      </c>
      <c r="N240" s="26">
        <f t="shared" si="293"/>
        <v>0</v>
      </c>
      <c r="O240" s="26">
        <f t="shared" si="293"/>
        <v>0</v>
      </c>
      <c r="P240" s="26">
        <f t="shared" si="293"/>
        <v>0</v>
      </c>
    </row>
    <row r="241" spans="2:16" ht="20.25" customHeight="1">
      <c r="B241" s="38"/>
      <c r="C241" s="37" t="s">
        <v>25</v>
      </c>
      <c r="D241" s="37"/>
      <c r="E241" s="37"/>
      <c r="F241" s="37"/>
      <c r="G241" s="37"/>
      <c r="H241" s="37"/>
      <c r="I241" s="27">
        <f>SUM(I235:I240)</f>
        <v>160</v>
      </c>
      <c r="J241" s="27">
        <f t="shared" ref="J241" si="294">SUM(J235:J240)</f>
        <v>0</v>
      </c>
      <c r="K241" s="27">
        <f t="shared" ref="K241" si="295">SUM(K235:K240)</f>
        <v>0</v>
      </c>
      <c r="L241" s="27">
        <f t="shared" ref="L241" si="296">SUM(L235:L240)</f>
        <v>0</v>
      </c>
      <c r="M241" s="27">
        <f t="shared" ref="M241" si="297">SUM(M235:M240)</f>
        <v>0</v>
      </c>
      <c r="N241" s="27">
        <f t="shared" ref="N241" si="298">SUM(N235:N240)</f>
        <v>0</v>
      </c>
      <c r="O241" s="27">
        <f t="shared" ref="O241" si="299">SUM(O235:O240)</f>
        <v>0</v>
      </c>
      <c r="P241" s="27">
        <f t="shared" ref="P241" si="300">SUM(P235:P240)</f>
        <v>0</v>
      </c>
    </row>
    <row r="242" spans="2:16" ht="14.25" customHeight="1">
      <c r="B242" s="28" t="s">
        <v>29</v>
      </c>
      <c r="C242" s="28"/>
      <c r="D242" s="28"/>
      <c r="E242" s="28"/>
      <c r="F242" s="28"/>
      <c r="G242" s="49"/>
      <c r="H242" s="28"/>
      <c r="I242" s="47">
        <f>+SUM(I206,I213,I220,I227,I234,I241)</f>
        <v>4954</v>
      </c>
      <c r="J242" s="47">
        <f t="shared" ref="J242:P242" si="301">+SUM(J206,J213,J220,J227,J234,J241)</f>
        <v>0</v>
      </c>
      <c r="K242" s="47">
        <f t="shared" si="301"/>
        <v>0</v>
      </c>
      <c r="L242" s="47">
        <f t="shared" si="301"/>
        <v>0</v>
      </c>
      <c r="M242" s="47">
        <f t="shared" si="301"/>
        <v>0</v>
      </c>
      <c r="N242" s="47">
        <f t="shared" si="301"/>
        <v>0</v>
      </c>
      <c r="O242" s="47">
        <f t="shared" si="301"/>
        <v>0</v>
      </c>
      <c r="P242" s="47">
        <f t="shared" si="301"/>
        <v>0</v>
      </c>
    </row>
    <row r="243" spans="2:16" ht="14.25" customHeight="1">
      <c r="B243" s="28"/>
      <c r="C243" s="28"/>
      <c r="D243" s="28"/>
      <c r="E243" s="28"/>
      <c r="F243" s="28"/>
      <c r="G243" s="49"/>
      <c r="H243" s="28"/>
      <c r="I243" s="47"/>
      <c r="J243" s="47"/>
      <c r="K243" s="47"/>
      <c r="L243" s="47"/>
      <c r="M243" s="47"/>
      <c r="N243" s="47"/>
      <c r="O243" s="47"/>
      <c r="P243" s="47"/>
    </row>
    <row r="244" spans="2:16" ht="14.25" customHeight="1">
      <c r="G244" s="50"/>
    </row>
    <row r="245" spans="2:16" ht="14.25" customHeight="1">
      <c r="G245" s="50"/>
    </row>
    <row r="246" spans="2:16" ht="14.25" customHeight="1">
      <c r="G246" s="50"/>
    </row>
    <row r="247" spans="2:16">
      <c r="G247" s="50"/>
    </row>
  </sheetData>
  <autoFilter ref="A2:P197" xr:uid="{00000000-0009-0000-0000-000000000000}"/>
  <mergeCells count="303">
    <mergeCell ref="A1:P1"/>
    <mergeCell ref="A40:A44"/>
    <mergeCell ref="B40:B44"/>
    <mergeCell ref="C40:C44"/>
    <mergeCell ref="D40:D44"/>
    <mergeCell ref="E40:E44"/>
    <mergeCell ref="F40:F44"/>
    <mergeCell ref="G40:G44"/>
    <mergeCell ref="A45:C45"/>
    <mergeCell ref="A3:A7"/>
    <mergeCell ref="B3:B7"/>
    <mergeCell ref="C3:C7"/>
    <mergeCell ref="D3:D7"/>
    <mergeCell ref="E3:E7"/>
    <mergeCell ref="F3:F7"/>
    <mergeCell ref="G3:G7"/>
    <mergeCell ref="A8:C8"/>
    <mergeCell ref="A9:A13"/>
    <mergeCell ref="B9:B13"/>
    <mergeCell ref="C9:C13"/>
    <mergeCell ref="D9:D13"/>
    <mergeCell ref="E9:E13"/>
    <mergeCell ref="F9:F13"/>
    <mergeCell ref="G9:G13"/>
    <mergeCell ref="A46:A50"/>
    <mergeCell ref="B46:B50"/>
    <mergeCell ref="C46:C50"/>
    <mergeCell ref="D46:D50"/>
    <mergeCell ref="E46:E50"/>
    <mergeCell ref="F46:F50"/>
    <mergeCell ref="G46:G50"/>
    <mergeCell ref="A51:C51"/>
    <mergeCell ref="A52:A56"/>
    <mergeCell ref="B52:B56"/>
    <mergeCell ref="C52:C56"/>
    <mergeCell ref="D52:D56"/>
    <mergeCell ref="E52:E56"/>
    <mergeCell ref="F52:F56"/>
    <mergeCell ref="G52:G56"/>
    <mergeCell ref="D70:D74"/>
    <mergeCell ref="E70:E74"/>
    <mergeCell ref="F70:F74"/>
    <mergeCell ref="G70:G74"/>
    <mergeCell ref="A75:C75"/>
    <mergeCell ref="A76:H76"/>
    <mergeCell ref="A57:C57"/>
    <mergeCell ref="A58:A62"/>
    <mergeCell ref="B58:B62"/>
    <mergeCell ref="C58:C62"/>
    <mergeCell ref="D58:D62"/>
    <mergeCell ref="E58:E62"/>
    <mergeCell ref="F58:F62"/>
    <mergeCell ref="G58:G62"/>
    <mergeCell ref="A63:C63"/>
    <mergeCell ref="A151:C151"/>
    <mergeCell ref="A109:A113"/>
    <mergeCell ref="B109:B113"/>
    <mergeCell ref="C109:C113"/>
    <mergeCell ref="D109:D113"/>
    <mergeCell ref="A84:A88"/>
    <mergeCell ref="B84:B88"/>
    <mergeCell ref="C84:C88"/>
    <mergeCell ref="D84:D88"/>
    <mergeCell ref="A89:C89"/>
    <mergeCell ref="A107:C107"/>
    <mergeCell ref="A108:H108"/>
    <mergeCell ref="A146:A150"/>
    <mergeCell ref="B146:B150"/>
    <mergeCell ref="C146:C150"/>
    <mergeCell ref="D146:D150"/>
    <mergeCell ref="E146:E150"/>
    <mergeCell ref="F146:F150"/>
    <mergeCell ref="G146:G150"/>
    <mergeCell ref="E109:E113"/>
    <mergeCell ref="F109:F113"/>
    <mergeCell ref="G109:G113"/>
    <mergeCell ref="A144:C144"/>
    <mergeCell ref="A145:H145"/>
    <mergeCell ref="G164:G168"/>
    <mergeCell ref="A152:A156"/>
    <mergeCell ref="B152:B156"/>
    <mergeCell ref="C152:C156"/>
    <mergeCell ref="D152:D156"/>
    <mergeCell ref="E152:E156"/>
    <mergeCell ref="F152:F156"/>
    <mergeCell ref="G152:G156"/>
    <mergeCell ref="A157:C157"/>
    <mergeCell ref="A158:A162"/>
    <mergeCell ref="B158:B162"/>
    <mergeCell ref="C158:C162"/>
    <mergeCell ref="D158:D162"/>
    <mergeCell ref="E158:E162"/>
    <mergeCell ref="F158:F162"/>
    <mergeCell ref="G158:G162"/>
    <mergeCell ref="A164:A168"/>
    <mergeCell ref="B164:B168"/>
    <mergeCell ref="C164:C168"/>
    <mergeCell ref="D164:D168"/>
    <mergeCell ref="E164:E168"/>
    <mergeCell ref="F164:F168"/>
    <mergeCell ref="A163:C163"/>
    <mergeCell ref="F190:F194"/>
    <mergeCell ref="A184:A188"/>
    <mergeCell ref="B184:B188"/>
    <mergeCell ref="C184:C188"/>
    <mergeCell ref="D184:D188"/>
    <mergeCell ref="E184:E188"/>
    <mergeCell ref="F184:F188"/>
    <mergeCell ref="A177:H177"/>
    <mergeCell ref="A178:A182"/>
    <mergeCell ref="B178:B182"/>
    <mergeCell ref="C178:C182"/>
    <mergeCell ref="D178:D182"/>
    <mergeCell ref="E178:E182"/>
    <mergeCell ref="F178:F182"/>
    <mergeCell ref="G178:G182"/>
    <mergeCell ref="A183:C183"/>
    <mergeCell ref="A176:C176"/>
    <mergeCell ref="A171:A175"/>
    <mergeCell ref="B171:B175"/>
    <mergeCell ref="A169:C169"/>
    <mergeCell ref="A190:A194"/>
    <mergeCell ref="B190:B194"/>
    <mergeCell ref="C190:C194"/>
    <mergeCell ref="D190:D194"/>
    <mergeCell ref="E190:E194"/>
    <mergeCell ref="G242:G247"/>
    <mergeCell ref="B200:B206"/>
    <mergeCell ref="C200:C205"/>
    <mergeCell ref="D200:D205"/>
    <mergeCell ref="E200:E205"/>
    <mergeCell ref="G200:G205"/>
    <mergeCell ref="C206:H206"/>
    <mergeCell ref="A170:H170"/>
    <mergeCell ref="A196:H196"/>
    <mergeCell ref="E207:E212"/>
    <mergeCell ref="G207:G212"/>
    <mergeCell ref="C213:H213"/>
    <mergeCell ref="C234:H234"/>
    <mergeCell ref="B214:B220"/>
    <mergeCell ref="C214:C219"/>
    <mergeCell ref="D214:D219"/>
    <mergeCell ref="G190:G194"/>
    <mergeCell ref="A195:C195"/>
    <mergeCell ref="G184:G188"/>
    <mergeCell ref="A189:C189"/>
    <mergeCell ref="C171:C175"/>
    <mergeCell ref="D171:D175"/>
    <mergeCell ref="E171:E175"/>
    <mergeCell ref="F171:F175"/>
    <mergeCell ref="I242:I243"/>
    <mergeCell ref="J242:J243"/>
    <mergeCell ref="K242:K243"/>
    <mergeCell ref="L242:L243"/>
    <mergeCell ref="M242:M243"/>
    <mergeCell ref="N242:N243"/>
    <mergeCell ref="O242:O243"/>
    <mergeCell ref="B221:B227"/>
    <mergeCell ref="C221:C226"/>
    <mergeCell ref="D221:D226"/>
    <mergeCell ref="E221:E226"/>
    <mergeCell ref="G221:G226"/>
    <mergeCell ref="C227:H227"/>
    <mergeCell ref="B235:B241"/>
    <mergeCell ref="C235:C240"/>
    <mergeCell ref="D235:D240"/>
    <mergeCell ref="E235:E240"/>
    <mergeCell ref="G235:G240"/>
    <mergeCell ref="C241:H241"/>
    <mergeCell ref="B228:B234"/>
    <mergeCell ref="C228:C233"/>
    <mergeCell ref="D228:D233"/>
    <mergeCell ref="E228:E233"/>
    <mergeCell ref="G228:G233"/>
    <mergeCell ref="P242:P243"/>
    <mergeCell ref="A64:A68"/>
    <mergeCell ref="B64:B68"/>
    <mergeCell ref="C64:C68"/>
    <mergeCell ref="D64:D68"/>
    <mergeCell ref="E64:E68"/>
    <mergeCell ref="F64:F68"/>
    <mergeCell ref="G64:G68"/>
    <mergeCell ref="A69:C69"/>
    <mergeCell ref="A96:A100"/>
    <mergeCell ref="B96:B100"/>
    <mergeCell ref="C96:C100"/>
    <mergeCell ref="D96:D100"/>
    <mergeCell ref="E96:E100"/>
    <mergeCell ref="F96:F100"/>
    <mergeCell ref="G96:G100"/>
    <mergeCell ref="A101:C101"/>
    <mergeCell ref="A102:A106"/>
    <mergeCell ref="B102:B106"/>
    <mergeCell ref="C102:C106"/>
    <mergeCell ref="D102:D106"/>
    <mergeCell ref="E102:E106"/>
    <mergeCell ref="F102:F106"/>
    <mergeCell ref="G102:G106"/>
    <mergeCell ref="A14:C14"/>
    <mergeCell ref="A15:A19"/>
    <mergeCell ref="B15:B19"/>
    <mergeCell ref="C15:C19"/>
    <mergeCell ref="D15:D19"/>
    <mergeCell ref="E15:E19"/>
    <mergeCell ref="F15:F19"/>
    <mergeCell ref="G15:G19"/>
    <mergeCell ref="A20:C20"/>
    <mergeCell ref="A21:A25"/>
    <mergeCell ref="B21:B25"/>
    <mergeCell ref="C21:C25"/>
    <mergeCell ref="D21:D25"/>
    <mergeCell ref="E21:E25"/>
    <mergeCell ref="F21:F25"/>
    <mergeCell ref="G21:G25"/>
    <mergeCell ref="A26:C26"/>
    <mergeCell ref="A27:A31"/>
    <mergeCell ref="B27:B31"/>
    <mergeCell ref="C27:C31"/>
    <mergeCell ref="D27:D31"/>
    <mergeCell ref="E27:E31"/>
    <mergeCell ref="F27:F31"/>
    <mergeCell ref="G27:G31"/>
    <mergeCell ref="A32:C32"/>
    <mergeCell ref="A33:A37"/>
    <mergeCell ref="B33:B37"/>
    <mergeCell ref="C33:C37"/>
    <mergeCell ref="D33:D37"/>
    <mergeCell ref="E33:E37"/>
    <mergeCell ref="F33:F37"/>
    <mergeCell ref="G33:G37"/>
    <mergeCell ref="A38:C38"/>
    <mergeCell ref="A39:H39"/>
    <mergeCell ref="A90:A94"/>
    <mergeCell ref="B90:B94"/>
    <mergeCell ref="C90:C94"/>
    <mergeCell ref="D90:D94"/>
    <mergeCell ref="E90:E94"/>
    <mergeCell ref="F90:F94"/>
    <mergeCell ref="G90:G94"/>
    <mergeCell ref="A95:C95"/>
    <mergeCell ref="E84:E88"/>
    <mergeCell ref="F84:F88"/>
    <mergeCell ref="G84:G88"/>
    <mergeCell ref="A83:C83"/>
    <mergeCell ref="A77:H77"/>
    <mergeCell ref="A78:A82"/>
    <mergeCell ref="B78:B82"/>
    <mergeCell ref="C78:C82"/>
    <mergeCell ref="D78:D82"/>
    <mergeCell ref="E78:E82"/>
    <mergeCell ref="F78:F82"/>
    <mergeCell ref="G78:G82"/>
    <mergeCell ref="A70:A74"/>
    <mergeCell ref="B70:B74"/>
    <mergeCell ref="C70:C74"/>
    <mergeCell ref="A114:C114"/>
    <mergeCell ref="A115:A119"/>
    <mergeCell ref="B115:B119"/>
    <mergeCell ref="C115:C119"/>
    <mergeCell ref="D115:D119"/>
    <mergeCell ref="E115:E119"/>
    <mergeCell ref="F115:F119"/>
    <mergeCell ref="G115:G119"/>
    <mergeCell ref="A120:C120"/>
    <mergeCell ref="A121:A125"/>
    <mergeCell ref="B121:B125"/>
    <mergeCell ref="C121:C125"/>
    <mergeCell ref="D121:D125"/>
    <mergeCell ref="E121:E125"/>
    <mergeCell ref="F121:F125"/>
    <mergeCell ref="G121:G125"/>
    <mergeCell ref="A126:C126"/>
    <mergeCell ref="A127:A131"/>
    <mergeCell ref="B127:B131"/>
    <mergeCell ref="C127:C131"/>
    <mergeCell ref="D127:D131"/>
    <mergeCell ref="E127:E131"/>
    <mergeCell ref="F127:F131"/>
    <mergeCell ref="G127:G131"/>
    <mergeCell ref="E214:E219"/>
    <mergeCell ref="G214:G219"/>
    <mergeCell ref="C220:H220"/>
    <mergeCell ref="B207:B213"/>
    <mergeCell ref="C207:C212"/>
    <mergeCell ref="D207:D212"/>
    <mergeCell ref="A132:C132"/>
    <mergeCell ref="A133:A137"/>
    <mergeCell ref="B133:B137"/>
    <mergeCell ref="C133:C137"/>
    <mergeCell ref="D133:D137"/>
    <mergeCell ref="E133:E137"/>
    <mergeCell ref="F133:F137"/>
    <mergeCell ref="G133:G137"/>
    <mergeCell ref="A138:C138"/>
    <mergeCell ref="A139:A143"/>
    <mergeCell ref="B139:B143"/>
    <mergeCell ref="C139:C143"/>
    <mergeCell ref="D139:D143"/>
    <mergeCell ref="E139:E143"/>
    <mergeCell ref="F139:F143"/>
    <mergeCell ref="G139:G143"/>
    <mergeCell ref="A197:H197"/>
    <mergeCell ref="G171:G175"/>
  </mergeCell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Tien Nguyen</cp:lastModifiedBy>
  <cp:revision>3</cp:revision>
  <cp:lastPrinted>2025-09-17T03:05:59Z</cp:lastPrinted>
  <dcterms:created xsi:type="dcterms:W3CDTF">2024-11-02T06:34:18Z</dcterms:created>
  <dcterms:modified xsi:type="dcterms:W3CDTF">2026-05-29T00:48:26Z</dcterms:modified>
  <dc:language>vi-VN</dc:language>
</cp:coreProperties>
</file>