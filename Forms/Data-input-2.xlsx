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80" windowWidth="23256" windowHeight="12192"/>
  </bookViews>
  <sheets>
    <sheet name="3.13" sheetId="2" r:id="rId1"/>
  </sheets>
  <definedNames>
    <definedName name="_xlnm.Print_Area" localSheetId="0">'3.13'!$A$1:$AF$22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D17" i="2"/>
  <c r="E17" i="2"/>
  <c r="F17" i="2"/>
  <c r="G17" i="2"/>
  <c r="I17" i="2"/>
  <c r="J17" i="2"/>
  <c r="K17" i="2"/>
  <c r="L17" i="2"/>
  <c r="M17" i="2"/>
  <c r="O17" i="2"/>
  <c r="P17" i="2"/>
  <c r="Q17" i="2"/>
  <c r="R17" i="2"/>
  <c r="S17" i="2"/>
  <c r="U17" i="2"/>
  <c r="V17" i="2"/>
  <c r="B17" i="2"/>
  <c r="X11" i="2" l="1"/>
  <c r="V13" i="2" l="1"/>
  <c r="U13" i="2"/>
  <c r="S13" i="2"/>
  <c r="R13" i="2"/>
  <c r="Q13" i="2"/>
  <c r="P13" i="2"/>
  <c r="O13" i="2"/>
  <c r="M13" i="2"/>
  <c r="L13" i="2"/>
  <c r="K13" i="2"/>
  <c r="J13" i="2"/>
  <c r="I13" i="2"/>
  <c r="G13" i="2"/>
  <c r="F13" i="2"/>
  <c r="E13" i="2"/>
  <c r="D13" i="2"/>
  <c r="C13" i="2"/>
  <c r="B13" i="2"/>
  <c r="S19" i="2" l="1"/>
  <c r="C19" i="2"/>
  <c r="G19" i="2"/>
  <c r="O19" i="2"/>
  <c r="L19" i="2"/>
  <c r="D19" i="2"/>
  <c r="V19" i="2"/>
  <c r="Q19" i="2"/>
  <c r="R19" i="2"/>
  <c r="I19" i="2"/>
  <c r="M19" i="2"/>
  <c r="J19" i="2"/>
  <c r="E19" i="2"/>
  <c r="X13" i="2"/>
  <c r="AA19" i="2"/>
  <c r="F19" i="2"/>
  <c r="K19" i="2"/>
  <c r="P19" i="2"/>
  <c r="U19" i="2"/>
  <c r="B19" i="2"/>
  <c r="AA17" i="2"/>
</calcChain>
</file>

<file path=xl/sharedStrings.xml><?xml version="1.0" encoding="utf-8"?>
<sst xmlns="http://schemas.openxmlformats.org/spreadsheetml/2006/main" count="82" uniqueCount="50">
  <si>
    <t>S</t>
  </si>
  <si>
    <t>M</t>
  </si>
  <si>
    <t>L</t>
  </si>
  <si>
    <t>XL</t>
  </si>
  <si>
    <t>PO#</t>
  </si>
  <si>
    <t>合计</t>
  </si>
  <si>
    <r>
      <rPr>
        <sz val="12"/>
        <rFont val="Arial"/>
        <family val="2"/>
      </rPr>
      <t xml:space="preserve"> </t>
    </r>
  </si>
  <si>
    <t>EDDIE BAUER</t>
  </si>
  <si>
    <t>3X</t>
  </si>
  <si>
    <t>XS</t>
  </si>
  <si>
    <t>2X</t>
    <phoneticPr fontId="32" type="noConversion"/>
  </si>
  <si>
    <t>BLACK 黑色</t>
  </si>
  <si>
    <t>JIANGSU SOHO TECHNOLOGY</t>
  </si>
  <si>
    <t>SEASON</t>
  </si>
  <si>
    <t>FALL 2026</t>
    <phoneticPr fontId="36" type="noConversion"/>
  </si>
  <si>
    <t>STYLE#</t>
    <phoneticPr fontId="36" type="noConversion"/>
  </si>
  <si>
    <t>UPDATED LOG</t>
  </si>
  <si>
    <t>DATE</t>
  </si>
  <si>
    <t>3/13/2026</t>
    <phoneticPr fontId="32" type="noConversion"/>
  </si>
  <si>
    <t>DIVISION</t>
    <phoneticPr fontId="32" type="noConversion"/>
  </si>
  <si>
    <t>Business III</t>
    <phoneticPr fontId="32" type="noConversion"/>
  </si>
  <si>
    <t>RVSD DATE</t>
  </si>
  <si>
    <t>REF NAM</t>
    <phoneticPr fontId="36" type="noConversion"/>
  </si>
  <si>
    <t>CUSTOMER</t>
  </si>
  <si>
    <t>OFF PRICE</t>
    <phoneticPr fontId="32" type="noConversion"/>
  </si>
  <si>
    <t>FTY</t>
    <phoneticPr fontId="36" type="noConversion"/>
  </si>
  <si>
    <t>VN - TUAN DAT</t>
    <phoneticPr fontId="32" type="noConversion"/>
  </si>
  <si>
    <t xml:space="preserve">ORDER SHEET (QTY BREAKDOWN) </t>
  </si>
  <si>
    <t>DRN#33689672</t>
    <phoneticPr fontId="32" type="noConversion"/>
  </si>
  <si>
    <t>SUMMARY</t>
    <phoneticPr fontId="33" type="noConversion"/>
  </si>
  <si>
    <t>COLOR</t>
    <phoneticPr fontId="32" type="noConversion"/>
  </si>
  <si>
    <t>SIZE BREAK DOWN</t>
    <phoneticPr fontId="32" type="noConversion"/>
  </si>
  <si>
    <t xml:space="preserve">PACK </t>
    <phoneticPr fontId="32" type="noConversion"/>
  </si>
  <si>
    <t>REGION</t>
  </si>
  <si>
    <t>LABEL</t>
  </si>
  <si>
    <t>DELIVERY</t>
  </si>
  <si>
    <t>REMARK</t>
  </si>
  <si>
    <t xml:space="preserve"> REGULAR - OWP</t>
    <phoneticPr fontId="32" type="noConversion"/>
  </si>
  <si>
    <t>PETITE - OWT</t>
    <phoneticPr fontId="32" type="noConversion"/>
  </si>
  <si>
    <t>TALL - OWA</t>
    <phoneticPr fontId="32" type="noConversion"/>
  </si>
  <si>
    <t>PLUS - OWN</t>
    <phoneticPr fontId="32" type="noConversion"/>
  </si>
  <si>
    <t>TOTAL</t>
    <phoneticPr fontId="32" type="noConversion"/>
  </si>
  <si>
    <t>XS</t>
    <phoneticPr fontId="32" type="noConversion"/>
  </si>
  <si>
    <t>2XL</t>
    <phoneticPr fontId="32" type="noConversion"/>
  </si>
  <si>
    <r>
      <t xml:space="preserve">BLACK </t>
    </r>
    <r>
      <rPr>
        <b/>
        <sz val="12"/>
        <rFont val="宋体"/>
        <family val="3"/>
        <charset val="134"/>
      </rPr>
      <t>黑色</t>
    </r>
    <phoneticPr fontId="33" type="noConversion"/>
  </si>
  <si>
    <t>INDIVIDUAL POLYBAG; 24PCS/CARTON</t>
    <phoneticPr fontId="32" type="noConversion"/>
  </si>
  <si>
    <t>EB000764W</t>
    <phoneticPr fontId="32" type="noConversion"/>
  </si>
  <si>
    <t>CLOUD CAP STRETCH RAIN PANT</t>
    <phoneticPr fontId="32" type="noConversion"/>
  </si>
  <si>
    <t>TOTAL</t>
    <phoneticPr fontId="33" type="noConversion"/>
  </si>
  <si>
    <t>ECOM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</si>
</sst>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(* #,##0.00_);_(* \(#,##0.00\);_(* &quot;-&quot;??_);_(@_)"/>
    <numFmt numFmtId="177" formatCode="_(&quot;$&quot;* #,##0.00_);_(&quot;$&quot;* \(#,##0.00\);_(&quot;$&quot;* &quot;-&quot;??_);_(@_)"/>
  </numFmts>
  <fonts count="41" x14ac:knownFonts="1">
    <font>
      <sz val="12"/>
      <name val="宋体"/>
      <charset val="134"/>
    </font>
    <font>
      <sz val="12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name val="宋体"/>
      <family val="3"/>
      <charset val="134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Comic Sans MS"/>
      <family val="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Comic Sans MS"/>
      <family val="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theme="1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20"/>
      <name val="Arial"/>
      <family val="2"/>
    </font>
    <font>
      <sz val="9"/>
      <name val="Tahoma"/>
      <family val="2"/>
      <charset val="134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name val="Arial"/>
      <family val="2"/>
    </font>
    <font>
      <b/>
      <sz val="12"/>
      <name val="宋体"/>
      <family val="3"/>
      <charset val="134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77">
    <xf numFmtId="0" fontId="0" fillId="0" borderId="0">
      <alignment vertical="center"/>
    </xf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38" applyNumberFormat="0" applyAlignment="0" applyProtection="0"/>
    <xf numFmtId="0" fontId="14" fillId="22" borderId="39" applyNumberFormat="0" applyAlignment="0" applyProtection="0"/>
    <xf numFmtId="176" fontId="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8" fillId="0" borderId="40" applyNumberFormat="0" applyFill="0" applyAlignment="0" applyProtection="0"/>
    <xf numFmtId="0" fontId="19" fillId="0" borderId="41" applyNumberFormat="0" applyFill="0" applyAlignment="0" applyProtection="0"/>
    <xf numFmtId="0" fontId="20" fillId="0" borderId="42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8" borderId="38" applyNumberFormat="0" applyAlignment="0" applyProtection="0"/>
    <xf numFmtId="0" fontId="23" fillId="0" borderId="43" applyNumberFormat="0" applyFill="0" applyAlignment="0" applyProtection="0"/>
    <xf numFmtId="0" fontId="24" fillId="23" borderId="0" applyNumberFormat="0" applyBorder="0" applyAlignment="0" applyProtection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4" fillId="0" borderId="0">
      <alignment vertical="center"/>
    </xf>
    <xf numFmtId="0" fontId="4" fillId="24" borderId="44" applyNumberFormat="0" applyFont="0" applyAlignment="0" applyProtection="0"/>
    <xf numFmtId="0" fontId="4" fillId="24" borderId="44" applyNumberFormat="0" applyFont="0" applyAlignment="0" applyProtection="0"/>
    <xf numFmtId="0" fontId="4" fillId="24" borderId="44" applyNumberFormat="0" applyFont="0" applyAlignment="0" applyProtection="0"/>
    <xf numFmtId="0" fontId="26" fillId="21" borderId="45" applyNumberFormat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46" applyNumberFormat="0" applyFill="0" applyAlignment="0" applyProtection="0"/>
    <xf numFmtId="0" fontId="29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34" fillId="0" borderId="0">
      <alignment vertical="center"/>
    </xf>
  </cellStyleXfs>
  <cellXfs count="15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1" fillId="2" borderId="31" xfId="0" applyFont="1" applyFill="1" applyBorder="1">
      <alignment vertical="center"/>
    </xf>
    <xf numFmtId="0" fontId="7" fillId="2" borderId="3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27" borderId="26" xfId="0" applyFont="1" applyFill="1" applyBorder="1" applyAlignment="1">
      <alignment horizontal="center" vertical="center"/>
    </xf>
    <xf numFmtId="0" fontId="5" fillId="25" borderId="7" xfId="0" applyFont="1" applyFill="1" applyBorder="1" applyAlignment="1">
      <alignment horizontal="center" vertical="center"/>
    </xf>
    <xf numFmtId="0" fontId="5" fillId="26" borderId="7" xfId="0" applyFont="1" applyFill="1" applyBorder="1" applyAlignment="1">
      <alignment horizontal="center" vertical="center"/>
    </xf>
    <xf numFmtId="0" fontId="5" fillId="27" borderId="7" xfId="0" applyFont="1" applyFill="1" applyBorder="1" applyAlignment="1">
      <alignment horizontal="center" vertical="center"/>
    </xf>
    <xf numFmtId="0" fontId="5" fillId="28" borderId="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5" borderId="14" xfId="0" applyFont="1" applyFill="1" applyBorder="1" applyAlignment="1">
      <alignment horizontal="center" vertical="center"/>
    </xf>
    <xf numFmtId="0" fontId="5" fillId="25" borderId="48" xfId="0" applyFont="1" applyFill="1" applyBorder="1" applyAlignment="1">
      <alignment horizontal="center" vertical="center"/>
    </xf>
    <xf numFmtId="0" fontId="5" fillId="25" borderId="28" xfId="0" applyFont="1" applyFill="1" applyBorder="1" applyAlignment="1">
      <alignment horizontal="center" vertical="center"/>
    </xf>
    <xf numFmtId="0" fontId="5" fillId="26" borderId="14" xfId="0" applyFont="1" applyFill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/>
    </xf>
    <xf numFmtId="0" fontId="5" fillId="26" borderId="28" xfId="0" applyFont="1" applyFill="1" applyBorder="1" applyAlignment="1">
      <alignment horizontal="center" vertical="center"/>
    </xf>
    <xf numFmtId="0" fontId="5" fillId="27" borderId="14" xfId="0" applyFont="1" applyFill="1" applyBorder="1" applyAlignment="1">
      <alignment horizontal="center" vertical="center"/>
    </xf>
    <xf numFmtId="0" fontId="5" fillId="27" borderId="48" xfId="0" applyFont="1" applyFill="1" applyBorder="1" applyAlignment="1">
      <alignment horizontal="center" vertical="center"/>
    </xf>
    <xf numFmtId="0" fontId="5" fillId="27" borderId="28" xfId="0" applyFont="1" applyFill="1" applyBorder="1" applyAlignment="1">
      <alignment horizontal="center" vertical="center"/>
    </xf>
    <xf numFmtId="0" fontId="5" fillId="28" borderId="14" xfId="0" applyFont="1" applyFill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wrapText="1"/>
    </xf>
    <xf numFmtId="0" fontId="5" fillId="28" borderId="2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14" fontId="4" fillId="2" borderId="18" xfId="0" applyNumberFormat="1" applyFont="1" applyFill="1" applyBorder="1" applyAlignment="1">
      <alignment horizontal="center" vertical="center" wrapText="1"/>
    </xf>
    <xf numFmtId="14" fontId="4" fillId="2" borderId="22" xfId="0" applyNumberFormat="1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33" xfId="0" applyFont="1" applyFill="1" applyBorder="1" applyAlignment="1">
      <alignment horizontal="left" vertical="top" wrapText="1"/>
    </xf>
    <xf numFmtId="0" fontId="1" fillId="2" borderId="35" xfId="0" applyFont="1" applyFill="1" applyBorder="1" applyAlignment="1">
      <alignment horizontal="left" vertical="top" wrapText="1"/>
    </xf>
    <xf numFmtId="0" fontId="1" fillId="2" borderId="36" xfId="0" applyFont="1" applyFill="1" applyBorder="1" applyAlignment="1">
      <alignment horizontal="left" vertical="top" wrapText="1"/>
    </xf>
    <xf numFmtId="0" fontId="1" fillId="2" borderId="37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35" fillId="0" borderId="32" xfId="72" applyFont="1" applyBorder="1" applyAlignment="1">
      <alignment horizontal="center" vertical="center" wrapText="1"/>
    </xf>
    <xf numFmtId="0" fontId="35" fillId="0" borderId="0" xfId="72" applyFont="1" applyBorder="1" applyAlignment="1">
      <alignment horizontal="center" vertical="center" wrapText="1"/>
    </xf>
    <xf numFmtId="0" fontId="1" fillId="0" borderId="0" xfId="0" applyFont="1" applyAlignment="1"/>
    <xf numFmtId="0" fontId="35" fillId="0" borderId="35" xfId="72" applyFont="1" applyBorder="1" applyAlignment="1">
      <alignment horizontal="center" vertical="center" wrapText="1"/>
    </xf>
    <xf numFmtId="0" fontId="35" fillId="0" borderId="36" xfId="72" applyFont="1" applyBorder="1" applyAlignment="1">
      <alignment horizontal="center" vertical="center" wrapText="1"/>
    </xf>
    <xf numFmtId="0" fontId="1" fillId="29" borderId="50" xfId="73" applyFont="1" applyFill="1" applyBorder="1" applyAlignment="1">
      <alignment horizontal="center" vertical="center"/>
    </xf>
    <xf numFmtId="0" fontId="1" fillId="29" borderId="5" xfId="73" applyFont="1" applyFill="1" applyBorder="1" applyAlignment="1">
      <alignment horizontal="center" vertical="center"/>
    </xf>
    <xf numFmtId="0" fontId="1" fillId="0" borderId="12" xfId="74" applyFont="1" applyBorder="1" applyAlignment="1">
      <alignment horizontal="center" vertical="center"/>
    </xf>
    <xf numFmtId="0" fontId="1" fillId="0" borderId="13" xfId="74" applyFont="1" applyBorder="1" applyAlignment="1">
      <alignment horizontal="center" vertical="center"/>
    </xf>
    <xf numFmtId="0" fontId="1" fillId="0" borderId="51" xfId="74" applyFont="1" applyBorder="1" applyAlignment="1">
      <alignment horizontal="center" vertical="center"/>
    </xf>
    <xf numFmtId="0" fontId="1" fillId="0" borderId="12" xfId="73" applyFont="1" applyFill="1" applyBorder="1" applyAlignment="1">
      <alignment horizontal="center" vertical="center"/>
    </xf>
    <xf numFmtId="0" fontId="1" fillId="0" borderId="13" xfId="73" applyFont="1" applyFill="1" applyBorder="1" applyAlignment="1">
      <alignment horizontal="center" vertical="center"/>
    </xf>
    <xf numFmtId="0" fontId="1" fillId="0" borderId="52" xfId="73" applyFont="1" applyFill="1" applyBorder="1" applyAlignment="1">
      <alignment horizontal="center" vertical="center"/>
    </xf>
    <xf numFmtId="0" fontId="1" fillId="2" borderId="53" xfId="74" applyFont="1" applyFill="1" applyBorder="1" applyAlignment="1">
      <alignment horizontal="center" vertical="center"/>
    </xf>
    <xf numFmtId="0" fontId="1" fillId="2" borderId="13" xfId="74" applyFont="1" applyFill="1" applyBorder="1" applyAlignment="1">
      <alignment horizontal="center" vertical="center"/>
    </xf>
    <xf numFmtId="0" fontId="1" fillId="2" borderId="52" xfId="74" applyFont="1" applyFill="1" applyBorder="1" applyAlignment="1">
      <alignment horizontal="center" vertical="center"/>
    </xf>
    <xf numFmtId="0" fontId="6" fillId="2" borderId="53" xfId="74" applyFont="1" applyFill="1" applyBorder="1" applyAlignment="1">
      <alignment horizontal="center" vertical="center"/>
    </xf>
    <xf numFmtId="0" fontId="6" fillId="2" borderId="13" xfId="74" applyFont="1" applyFill="1" applyBorder="1" applyAlignment="1">
      <alignment horizontal="center" vertical="center"/>
    </xf>
    <xf numFmtId="0" fontId="6" fillId="2" borderId="52" xfId="74" applyFont="1" applyFill="1" applyBorder="1" applyAlignment="1">
      <alignment horizontal="center" vertical="center"/>
    </xf>
    <xf numFmtId="0" fontId="1" fillId="30" borderId="1" xfId="74" applyFont="1" applyFill="1" applyBorder="1" applyAlignment="1">
      <alignment horizontal="left" vertical="center"/>
    </xf>
    <xf numFmtId="0" fontId="1" fillId="30" borderId="2" xfId="74" applyFont="1" applyFill="1" applyBorder="1" applyAlignment="1">
      <alignment horizontal="left" vertical="center"/>
    </xf>
    <xf numFmtId="0" fontId="1" fillId="30" borderId="10" xfId="74" applyFont="1" applyFill="1" applyBorder="1" applyAlignment="1">
      <alignment horizontal="left" vertical="center"/>
    </xf>
    <xf numFmtId="0" fontId="37" fillId="29" borderId="54" xfId="75" applyFont="1" applyFill="1" applyBorder="1" applyAlignment="1">
      <alignment horizontal="center" vertical="center"/>
    </xf>
    <xf numFmtId="0" fontId="37" fillId="29" borderId="55" xfId="75" applyFont="1" applyFill="1" applyBorder="1" applyAlignment="1">
      <alignment horizontal="center" vertical="center"/>
    </xf>
    <xf numFmtId="58" fontId="1" fillId="0" borderId="48" xfId="74" applyNumberFormat="1" applyFont="1" applyBorder="1" applyAlignment="1">
      <alignment horizontal="center" vertical="center"/>
    </xf>
    <xf numFmtId="58" fontId="1" fillId="0" borderId="28" xfId="74" applyNumberFormat="1" applyFont="1" applyBorder="1" applyAlignment="1">
      <alignment horizontal="center" vertical="center"/>
    </xf>
    <xf numFmtId="0" fontId="1" fillId="29" borderId="48" xfId="75" applyFont="1" applyFill="1" applyBorder="1" applyAlignment="1">
      <alignment horizontal="center" vertical="center"/>
    </xf>
    <xf numFmtId="0" fontId="1" fillId="29" borderId="56" xfId="75" applyFont="1" applyFill="1" applyBorder="1" applyAlignment="1">
      <alignment horizontal="center" vertical="center"/>
    </xf>
    <xf numFmtId="0" fontId="1" fillId="2" borderId="57" xfId="74" applyFont="1" applyFill="1" applyBorder="1" applyAlignment="1">
      <alignment horizontal="center" vertical="center" wrapText="1"/>
    </xf>
    <xf numFmtId="0" fontId="1" fillId="2" borderId="48" xfId="74" applyFont="1" applyFill="1" applyBorder="1" applyAlignment="1">
      <alignment horizontal="center" vertical="center" wrapText="1"/>
    </xf>
    <xf numFmtId="0" fontId="1" fillId="2" borderId="56" xfId="74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38" fillId="29" borderId="54" xfId="75" applyFont="1" applyFill="1" applyBorder="1" applyAlignment="1">
      <alignment horizontal="center" vertical="center"/>
    </xf>
    <xf numFmtId="0" fontId="38" fillId="29" borderId="55" xfId="75" applyFont="1" applyFill="1" applyBorder="1" applyAlignment="1">
      <alignment horizontal="center" vertical="center"/>
    </xf>
    <xf numFmtId="58" fontId="38" fillId="0" borderId="14" xfId="74" applyNumberFormat="1" applyFont="1" applyBorder="1" applyAlignment="1">
      <alignment horizontal="center" vertical="center"/>
    </xf>
    <xf numFmtId="58" fontId="38" fillId="0" borderId="48" xfId="74" applyNumberFormat="1" applyFont="1" applyBorder="1" applyAlignment="1">
      <alignment horizontal="center" vertical="center"/>
    </xf>
    <xf numFmtId="58" fontId="38" fillId="0" borderId="28" xfId="74" applyNumberFormat="1" applyFont="1" applyBorder="1" applyAlignment="1">
      <alignment horizontal="center" vertical="center"/>
    </xf>
    <xf numFmtId="0" fontId="1" fillId="29" borderId="14" xfId="75" applyFont="1" applyFill="1" applyBorder="1" applyAlignment="1">
      <alignment horizontal="center" vertical="center" wrapText="1"/>
    </xf>
    <xf numFmtId="0" fontId="1" fillId="29" borderId="48" xfId="75" applyFont="1" applyFill="1" applyBorder="1" applyAlignment="1">
      <alignment horizontal="center" vertical="center" wrapText="1"/>
    </xf>
    <xf numFmtId="0" fontId="1" fillId="29" borderId="56" xfId="75" applyFont="1" applyFill="1" applyBorder="1" applyAlignment="1">
      <alignment horizontal="center" vertical="center" wrapText="1"/>
    </xf>
    <xf numFmtId="0" fontId="37" fillId="29" borderId="58" xfId="75" applyFont="1" applyFill="1" applyBorder="1" applyAlignment="1">
      <alignment horizontal="center" vertical="center"/>
    </xf>
    <xf numFmtId="0" fontId="37" fillId="29" borderId="18" xfId="75" applyFont="1" applyFill="1" applyBorder="1" applyAlignment="1">
      <alignment horizontal="center" vertical="center"/>
    </xf>
    <xf numFmtId="0" fontId="1" fillId="0" borderId="15" xfId="74" applyFont="1" applyBorder="1" applyAlignment="1">
      <alignment horizontal="center" vertical="center"/>
    </xf>
    <xf numFmtId="0" fontId="1" fillId="0" borderId="16" xfId="74" applyFont="1" applyBorder="1" applyAlignment="1">
      <alignment horizontal="center" vertical="center"/>
    </xf>
    <xf numFmtId="0" fontId="1" fillId="0" borderId="17" xfId="74" applyFont="1" applyBorder="1" applyAlignment="1">
      <alignment horizontal="center" vertical="center"/>
    </xf>
    <xf numFmtId="0" fontId="1" fillId="2" borderId="59" xfId="73" applyFont="1" applyFill="1" applyBorder="1" applyAlignment="1">
      <alignment horizontal="center" vertical="center" wrapText="1"/>
    </xf>
    <xf numFmtId="0" fontId="1" fillId="2" borderId="60" xfId="73" applyFont="1" applyFill="1" applyBorder="1" applyAlignment="1">
      <alignment horizontal="center" vertical="center" wrapText="1"/>
    </xf>
    <xf numFmtId="0" fontId="1" fillId="2" borderId="61" xfId="73" applyFont="1" applyFill="1" applyBorder="1" applyAlignment="1">
      <alignment horizontal="center" vertical="center" wrapText="1"/>
    </xf>
    <xf numFmtId="0" fontId="1" fillId="2" borderId="62" xfId="74" applyFont="1" applyFill="1" applyBorder="1" applyAlignment="1">
      <alignment horizontal="center" vertical="center" wrapText="1"/>
    </xf>
    <xf numFmtId="0" fontId="1" fillId="2" borderId="60" xfId="74" applyFont="1" applyFill="1" applyBorder="1" applyAlignment="1">
      <alignment horizontal="center" vertical="center" wrapText="1"/>
    </xf>
    <xf numFmtId="0" fontId="1" fillId="2" borderId="61" xfId="74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2" fillId="5" borderId="8" xfId="59" applyFont="1" applyFill="1" applyBorder="1" applyAlignment="1">
      <alignment horizontal="center" vertical="center" wrapText="1"/>
    </xf>
    <xf numFmtId="0" fontId="2" fillId="5" borderId="9" xfId="59" applyFont="1" applyFill="1" applyBorder="1" applyAlignment="1">
      <alignment horizontal="center" vertical="center" wrapText="1"/>
    </xf>
    <xf numFmtId="0" fontId="39" fillId="2" borderId="8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/>
    </xf>
    <xf numFmtId="0" fontId="39" fillId="2" borderId="2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4" xfId="76" applyFont="1" applyFill="1" applyBorder="1" applyAlignment="1">
      <alignment horizontal="center" vertical="center" wrapText="1"/>
    </xf>
    <xf numFmtId="0" fontId="2" fillId="2" borderId="11" xfId="76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2" fillId="2" borderId="22" xfId="76" applyFont="1" applyFill="1" applyBorder="1" applyAlignment="1">
      <alignment horizontal="center" vertical="center" wrapText="1"/>
    </xf>
    <xf numFmtId="0" fontId="2" fillId="2" borderId="23" xfId="76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" fillId="2" borderId="7" xfId="76" applyFont="1" applyFill="1" applyBorder="1" applyAlignment="1">
      <alignment horizontal="center" vertical="center" wrapText="1"/>
    </xf>
    <xf numFmtId="0" fontId="2" fillId="2" borderId="49" xfId="76" applyFont="1" applyFill="1" applyBorder="1" applyAlignment="1">
      <alignment horizontal="center" vertical="center"/>
    </xf>
    <xf numFmtId="0" fontId="30" fillId="2" borderId="15" xfId="0" applyFont="1" applyFill="1" applyBorder="1" applyAlignment="1">
      <alignment horizontal="center" vertical="center" wrapText="1"/>
    </xf>
    <xf numFmtId="58" fontId="1" fillId="0" borderId="14" xfId="74" applyNumberFormat="1" applyFont="1" applyBorder="1" applyAlignment="1">
      <alignment horizontal="center" vertical="center"/>
    </xf>
    <xf numFmtId="0" fontId="1" fillId="29" borderId="14" xfId="75" applyFont="1" applyFill="1" applyBorder="1" applyAlignment="1">
      <alignment horizontal="center" vertical="center"/>
    </xf>
    <xf numFmtId="0" fontId="2" fillId="5" borderId="27" xfId="59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7" fillId="2" borderId="68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</cellXfs>
  <cellStyles count="77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Currency 2" xfId="29"/>
    <cellStyle name="Currency 2 2" xfId="30"/>
    <cellStyle name="Currency 3" xfId="31"/>
    <cellStyle name="Currency 3 2" xfId="32"/>
    <cellStyle name="Currency 4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Hyperlink 2" xfId="40"/>
    <cellStyle name="Hyperlink 3" xfId="41"/>
    <cellStyle name="Input 2" xfId="42"/>
    <cellStyle name="Linked Cell 2" xfId="43"/>
    <cellStyle name="Neutral 2" xfId="44"/>
    <cellStyle name="Normal 15" xfId="45"/>
    <cellStyle name="Normal 15 2" xfId="46"/>
    <cellStyle name="Normal 2" xfId="47"/>
    <cellStyle name="Normal 2 2" xfId="48"/>
    <cellStyle name="Normal 2 3" xfId="49"/>
    <cellStyle name="Normal 3" xfId="50"/>
    <cellStyle name="Normal 3 2" xfId="51"/>
    <cellStyle name="Normal 3 3" xfId="52"/>
    <cellStyle name="Normal 4" xfId="53"/>
    <cellStyle name="Normal 5" xfId="54"/>
    <cellStyle name="Normal 6" xfId="55"/>
    <cellStyle name="Normal 6 2" xfId="56"/>
    <cellStyle name="Normal 7" xfId="57"/>
    <cellStyle name="Normal 8" xfId="58"/>
    <cellStyle name="Normal_F88311_ACE_XDYE" xfId="73"/>
    <cellStyle name="Normal_F88311_ACE_XDYE 2" xfId="75"/>
    <cellStyle name="Normal_Kohls C87960" xfId="59"/>
    <cellStyle name="Note 2" xfId="60"/>
    <cellStyle name="Note 3" xfId="61"/>
    <cellStyle name="Note 3 2" xfId="62"/>
    <cellStyle name="Output 2" xfId="63"/>
    <cellStyle name="Percent 2" xfId="64"/>
    <cellStyle name="Percent 2 2" xfId="65"/>
    <cellStyle name="Percent 3" xfId="66"/>
    <cellStyle name="Percent 3 2" xfId="67"/>
    <cellStyle name="Percent 4" xfId="68"/>
    <cellStyle name="Title 2" xfId="69"/>
    <cellStyle name="Total 2" xfId="70"/>
    <cellStyle name="Warning Text 2" xfId="71"/>
    <cellStyle name="常规" xfId="0" builtinId="0"/>
    <cellStyle name="常规 2" xfId="72"/>
    <cellStyle name="常规 3" xfId="76"/>
    <cellStyle name="常规 36" xfId="7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163285</xdr:colOff>
      <xdr:row>3</xdr:row>
      <xdr:rowOff>65314</xdr:rowOff>
    </xdr:from>
    <xdr:to>
      <xdr:col>20</xdr:col>
      <xdr:colOff>115999</xdr:colOff>
      <xdr:row>5</xdr:row>
      <xdr:rowOff>348343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5771" y="1709057"/>
          <a:ext cx="845342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9"/>
  <sheetViews>
    <sheetView tabSelected="1" zoomScale="70" zoomScaleNormal="70" workbookViewId="0">
      <selection activeCell="J28" sqref="J28"/>
    </sheetView>
  </sheetViews>
  <sheetFormatPr defaultColWidth="8.69921875" defaultRowHeight="15" x14ac:dyDescent="0.25"/>
  <cols>
    <col min="1" max="1" width="18.5" style="1" customWidth="1"/>
    <col min="2" max="23" width="5.796875" style="1" customWidth="1"/>
    <col min="24" max="24" width="9.8984375" style="1" customWidth="1"/>
    <col min="25" max="26" width="4.69921875" style="1" customWidth="1"/>
    <col min="27" max="27" width="8.69921875" style="1" customWidth="1"/>
    <col min="28" max="28" width="10.8984375" style="2" customWidth="1"/>
    <col min="29" max="29" width="9.5" style="1" customWidth="1"/>
    <col min="30" max="30" width="11.3984375" style="1" customWidth="1"/>
    <col min="31" max="31" width="10.5" style="1" customWidth="1"/>
    <col min="32" max="32" width="9.69921875" style="2" customWidth="1"/>
    <col min="33" max="16384" width="8.69921875" style="1"/>
  </cols>
  <sheetData>
    <row r="1" spans="1:32" s="60" customFormat="1" ht="19.95" customHeight="1" x14ac:dyDescent="0.25">
      <c r="A1" s="58" t="s">
        <v>12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</row>
    <row r="2" spans="1:32" s="60" customFormat="1" ht="33" customHeight="1" thickBot="1" x14ac:dyDescent="0.3">
      <c r="A2" s="61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</row>
    <row r="3" spans="1:32" s="60" customFormat="1" ht="31.2" customHeight="1" x14ac:dyDescent="0.25">
      <c r="A3" s="63" t="s">
        <v>13</v>
      </c>
      <c r="B3" s="64"/>
      <c r="C3" s="65" t="s">
        <v>14</v>
      </c>
      <c r="D3" s="66"/>
      <c r="E3" s="66"/>
      <c r="F3" s="67"/>
      <c r="G3" s="68" t="s">
        <v>15</v>
      </c>
      <c r="H3" s="69"/>
      <c r="I3" s="69"/>
      <c r="J3" s="70"/>
      <c r="K3" s="71" t="s">
        <v>46</v>
      </c>
      <c r="L3" s="72"/>
      <c r="M3" s="72"/>
      <c r="N3" s="72"/>
      <c r="O3" s="72"/>
      <c r="P3" s="72"/>
      <c r="Q3" s="73"/>
      <c r="R3" s="74" t="s">
        <v>28</v>
      </c>
      <c r="S3" s="75"/>
      <c r="T3" s="75"/>
      <c r="U3" s="75"/>
      <c r="V3" s="76"/>
      <c r="W3" s="77" t="s">
        <v>16</v>
      </c>
      <c r="X3" s="78"/>
      <c r="Y3" s="78"/>
      <c r="Z3" s="78"/>
      <c r="AA3" s="78"/>
      <c r="AB3" s="78"/>
      <c r="AC3" s="78"/>
      <c r="AD3" s="78"/>
      <c r="AE3" s="78"/>
      <c r="AF3" s="79"/>
    </row>
    <row r="4" spans="1:32" s="60" customFormat="1" ht="31.2" customHeight="1" x14ac:dyDescent="0.25">
      <c r="A4" s="80" t="s">
        <v>17</v>
      </c>
      <c r="B4" s="81"/>
      <c r="C4" s="140" t="s">
        <v>18</v>
      </c>
      <c r="D4" s="82"/>
      <c r="E4" s="82"/>
      <c r="F4" s="83"/>
      <c r="G4" s="141" t="s">
        <v>19</v>
      </c>
      <c r="H4" s="84"/>
      <c r="I4" s="84"/>
      <c r="J4" s="85"/>
      <c r="K4" s="86" t="s">
        <v>20</v>
      </c>
      <c r="L4" s="87"/>
      <c r="M4" s="87"/>
      <c r="N4" s="87"/>
      <c r="O4" s="87"/>
      <c r="P4" s="87"/>
      <c r="Q4" s="88"/>
      <c r="R4" s="89"/>
      <c r="S4" s="90"/>
      <c r="T4" s="90"/>
      <c r="U4" s="90"/>
      <c r="V4" s="91"/>
      <c r="W4" s="89"/>
      <c r="X4" s="90"/>
      <c r="Y4" s="90"/>
      <c r="Z4" s="90"/>
      <c r="AA4" s="90"/>
      <c r="AB4" s="90"/>
      <c r="AC4" s="90"/>
      <c r="AD4" s="90"/>
      <c r="AE4" s="90"/>
      <c r="AF4" s="91"/>
    </row>
    <row r="5" spans="1:32" s="60" customFormat="1" ht="31.2" customHeight="1" x14ac:dyDescent="0.25">
      <c r="A5" s="92" t="s">
        <v>21</v>
      </c>
      <c r="B5" s="93"/>
      <c r="C5" s="94"/>
      <c r="D5" s="95"/>
      <c r="E5" s="95"/>
      <c r="F5" s="96"/>
      <c r="G5" s="97" t="s">
        <v>22</v>
      </c>
      <c r="H5" s="98"/>
      <c r="I5" s="98"/>
      <c r="J5" s="99"/>
      <c r="K5" s="86" t="s">
        <v>47</v>
      </c>
      <c r="L5" s="87"/>
      <c r="M5" s="87"/>
      <c r="N5" s="87"/>
      <c r="O5" s="87"/>
      <c r="P5" s="87"/>
      <c r="Q5" s="88"/>
      <c r="R5" s="89"/>
      <c r="S5" s="90"/>
      <c r="T5" s="90"/>
      <c r="U5" s="90"/>
      <c r="V5" s="91"/>
      <c r="W5" s="89"/>
      <c r="X5" s="90"/>
      <c r="Y5" s="90"/>
      <c r="Z5" s="90"/>
      <c r="AA5" s="90"/>
      <c r="AB5" s="90"/>
      <c r="AC5" s="90"/>
      <c r="AD5" s="90"/>
      <c r="AE5" s="90"/>
      <c r="AF5" s="91"/>
    </row>
    <row r="6" spans="1:32" s="60" customFormat="1" ht="31.2" customHeight="1" thickBot="1" x14ac:dyDescent="0.3">
      <c r="A6" s="100" t="s">
        <v>23</v>
      </c>
      <c r="B6" s="101"/>
      <c r="C6" s="102" t="s">
        <v>24</v>
      </c>
      <c r="D6" s="103"/>
      <c r="E6" s="103"/>
      <c r="F6" s="104"/>
      <c r="G6" s="105" t="s">
        <v>25</v>
      </c>
      <c r="H6" s="106"/>
      <c r="I6" s="106"/>
      <c r="J6" s="107"/>
      <c r="K6" s="108" t="s">
        <v>26</v>
      </c>
      <c r="L6" s="109"/>
      <c r="M6" s="109"/>
      <c r="N6" s="109"/>
      <c r="O6" s="109"/>
      <c r="P6" s="109"/>
      <c r="Q6" s="110"/>
      <c r="R6" s="111"/>
      <c r="S6" s="112"/>
      <c r="T6" s="112"/>
      <c r="U6" s="112"/>
      <c r="V6" s="113"/>
      <c r="W6" s="111"/>
      <c r="X6" s="112"/>
      <c r="Y6" s="112"/>
      <c r="Z6" s="112"/>
      <c r="AA6" s="112"/>
      <c r="AB6" s="112"/>
      <c r="AC6" s="112"/>
      <c r="AD6" s="112"/>
      <c r="AE6" s="112"/>
      <c r="AF6" s="113"/>
    </row>
    <row r="7" spans="1:32" s="60" customFormat="1" ht="36" customHeight="1" thickBot="1" x14ac:dyDescent="0.3">
      <c r="A7" s="114" t="s">
        <v>27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42"/>
    </row>
    <row r="8" spans="1:32" ht="32.1" customHeight="1" x14ac:dyDescent="0.25">
      <c r="A8" s="21" t="s">
        <v>30</v>
      </c>
      <c r="B8" s="119" t="s">
        <v>31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20" t="s">
        <v>32</v>
      </c>
      <c r="Z8" s="121"/>
      <c r="AA8" s="122"/>
      <c r="AB8" s="123" t="s">
        <v>4</v>
      </c>
      <c r="AC8" s="124" t="s">
        <v>33</v>
      </c>
      <c r="AD8" s="124" t="s">
        <v>34</v>
      </c>
      <c r="AE8" s="124" t="s">
        <v>35</v>
      </c>
      <c r="AF8" s="125" t="s">
        <v>36</v>
      </c>
    </row>
    <row r="9" spans="1:32" ht="32.1" customHeight="1" x14ac:dyDescent="0.25">
      <c r="A9" s="22"/>
      <c r="B9" s="24" t="s">
        <v>37</v>
      </c>
      <c r="C9" s="25"/>
      <c r="D9" s="25"/>
      <c r="E9" s="25"/>
      <c r="F9" s="25"/>
      <c r="G9" s="25"/>
      <c r="H9" s="26"/>
      <c r="I9" s="27" t="s">
        <v>38</v>
      </c>
      <c r="J9" s="28"/>
      <c r="K9" s="28"/>
      <c r="L9" s="28"/>
      <c r="M9" s="28"/>
      <c r="N9" s="29"/>
      <c r="O9" s="30" t="s">
        <v>39</v>
      </c>
      <c r="P9" s="31"/>
      <c r="Q9" s="31"/>
      <c r="R9" s="31"/>
      <c r="S9" s="32"/>
      <c r="T9" s="14"/>
      <c r="U9" s="33" t="s">
        <v>40</v>
      </c>
      <c r="V9" s="34"/>
      <c r="W9" s="35"/>
      <c r="X9" s="126" t="s">
        <v>41</v>
      </c>
      <c r="Y9" s="127"/>
      <c r="Z9" s="128"/>
      <c r="AA9" s="129"/>
      <c r="AB9" s="44"/>
      <c r="AC9" s="130"/>
      <c r="AD9" s="130"/>
      <c r="AE9" s="130"/>
      <c r="AF9" s="131"/>
    </row>
    <row r="10" spans="1:32" ht="32.1" customHeight="1" x14ac:dyDescent="0.25">
      <c r="A10" s="23"/>
      <c r="B10" s="15" t="s">
        <v>42</v>
      </c>
      <c r="C10" s="15" t="s">
        <v>0</v>
      </c>
      <c r="D10" s="15" t="s">
        <v>1</v>
      </c>
      <c r="E10" s="15" t="s">
        <v>2</v>
      </c>
      <c r="F10" s="15" t="s">
        <v>3</v>
      </c>
      <c r="G10" s="15" t="s">
        <v>43</v>
      </c>
      <c r="H10" s="15"/>
      <c r="I10" s="16" t="s">
        <v>9</v>
      </c>
      <c r="J10" s="16" t="s">
        <v>0</v>
      </c>
      <c r="K10" s="16" t="s">
        <v>1</v>
      </c>
      <c r="L10" s="16" t="s">
        <v>2</v>
      </c>
      <c r="M10" s="16" t="s">
        <v>3</v>
      </c>
      <c r="N10" s="16"/>
      <c r="O10" s="17" t="s">
        <v>0</v>
      </c>
      <c r="P10" s="17" t="s">
        <v>1</v>
      </c>
      <c r="Q10" s="17" t="s">
        <v>2</v>
      </c>
      <c r="R10" s="17" t="s">
        <v>3</v>
      </c>
      <c r="S10" s="17" t="s">
        <v>43</v>
      </c>
      <c r="T10" s="17"/>
      <c r="U10" s="18" t="s">
        <v>10</v>
      </c>
      <c r="V10" s="18" t="s">
        <v>8</v>
      </c>
      <c r="W10" s="18"/>
      <c r="X10" s="132"/>
      <c r="Y10" s="133"/>
      <c r="Z10" s="134"/>
      <c r="AA10" s="135"/>
      <c r="AB10" s="136"/>
      <c r="AC10" s="137"/>
      <c r="AD10" s="137"/>
      <c r="AE10" s="137"/>
      <c r="AF10" s="138"/>
    </row>
    <row r="11" spans="1:32" ht="28.8" customHeight="1" x14ac:dyDescent="0.25">
      <c r="A11" s="3" t="s">
        <v>44</v>
      </c>
      <c r="B11" s="4">
        <v>148</v>
      </c>
      <c r="C11" s="4">
        <v>481</v>
      </c>
      <c r="D11" s="4">
        <v>689</v>
      </c>
      <c r="E11" s="4">
        <v>459</v>
      </c>
      <c r="F11" s="4">
        <v>247</v>
      </c>
      <c r="G11" s="4">
        <v>124</v>
      </c>
      <c r="H11" s="4"/>
      <c r="I11" s="4">
        <v>93</v>
      </c>
      <c r="J11" s="4">
        <v>236</v>
      </c>
      <c r="K11" s="4">
        <v>263</v>
      </c>
      <c r="L11" s="4">
        <v>188</v>
      </c>
      <c r="M11" s="4">
        <v>81</v>
      </c>
      <c r="N11" s="4"/>
      <c r="O11" s="4">
        <v>31</v>
      </c>
      <c r="P11" s="4">
        <v>164</v>
      </c>
      <c r="Q11" s="4">
        <v>131</v>
      </c>
      <c r="R11" s="4">
        <v>74</v>
      </c>
      <c r="S11" s="4">
        <v>30</v>
      </c>
      <c r="T11" s="4"/>
      <c r="U11" s="4">
        <v>95</v>
      </c>
      <c r="V11" s="4">
        <v>48</v>
      </c>
      <c r="W11" s="5"/>
      <c r="X11" s="143">
        <f>SUM(B11:W11)</f>
        <v>3582</v>
      </c>
      <c r="Y11" s="139" t="s">
        <v>45</v>
      </c>
      <c r="Z11" s="36"/>
      <c r="AA11" s="37"/>
      <c r="AB11" s="43">
        <v>37804672</v>
      </c>
      <c r="AC11" s="43" t="s">
        <v>49</v>
      </c>
      <c r="AD11" s="45" t="s">
        <v>7</v>
      </c>
      <c r="AE11" s="41">
        <v>46152</v>
      </c>
      <c r="AF11" s="19"/>
    </row>
    <row r="12" spans="1:32" ht="28.8" customHeight="1" x14ac:dyDescent="0.25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143"/>
      <c r="Y12" s="38"/>
      <c r="Z12" s="39"/>
      <c r="AA12" s="40"/>
      <c r="AB12" s="44"/>
      <c r="AC12" s="44"/>
      <c r="AD12" s="46"/>
      <c r="AE12" s="42"/>
      <c r="AF12" s="20"/>
    </row>
    <row r="13" spans="1:32" ht="32.1" customHeight="1" thickBot="1" x14ac:dyDescent="0.3">
      <c r="A13" s="144" t="s">
        <v>5</v>
      </c>
      <c r="B13" s="145">
        <f>SUM(B11:B12)</f>
        <v>148</v>
      </c>
      <c r="C13" s="145">
        <f>SUM(C11:C12)</f>
        <v>481</v>
      </c>
      <c r="D13" s="145">
        <f>SUM(D11:D12)</f>
        <v>689</v>
      </c>
      <c r="E13" s="145">
        <f>SUM(E11:E12)</f>
        <v>459</v>
      </c>
      <c r="F13" s="145">
        <f>SUM(F11:F12)</f>
        <v>247</v>
      </c>
      <c r="G13" s="145">
        <f>SUM(G11:G12)</f>
        <v>124</v>
      </c>
      <c r="H13" s="145"/>
      <c r="I13" s="145">
        <f>SUM(I11:I12)</f>
        <v>93</v>
      </c>
      <c r="J13" s="145">
        <f>SUM(J11:J12)</f>
        <v>236</v>
      </c>
      <c r="K13" s="145">
        <f>SUM(K11:K12)</f>
        <v>263</v>
      </c>
      <c r="L13" s="145">
        <f>SUM(L11:L12)</f>
        <v>188</v>
      </c>
      <c r="M13" s="145">
        <f>SUM(M11:M12)</f>
        <v>81</v>
      </c>
      <c r="N13" s="145"/>
      <c r="O13" s="145">
        <f>SUM(O11:O12)</f>
        <v>31</v>
      </c>
      <c r="P13" s="145">
        <f>SUM(P11:P12)</f>
        <v>164</v>
      </c>
      <c r="Q13" s="145">
        <f>SUM(Q11:Q12)</f>
        <v>131</v>
      </c>
      <c r="R13" s="145">
        <f>SUM(R11:R12)</f>
        <v>74</v>
      </c>
      <c r="S13" s="145">
        <f>SUM(S11:S12)</f>
        <v>30</v>
      </c>
      <c r="T13" s="145"/>
      <c r="U13" s="145">
        <f>SUM(U11:U12)</f>
        <v>95</v>
      </c>
      <c r="V13" s="145">
        <f>SUM(V11:V12)</f>
        <v>48</v>
      </c>
      <c r="W13" s="145"/>
      <c r="X13" s="145">
        <f>SUM(X11:X12)</f>
        <v>3582</v>
      </c>
      <c r="Y13" s="146"/>
      <c r="Z13" s="146"/>
      <c r="AA13" s="146"/>
      <c r="AB13" s="147"/>
      <c r="AC13" s="147"/>
      <c r="AD13" s="147"/>
      <c r="AE13" s="147"/>
      <c r="AF13" s="148"/>
    </row>
    <row r="14" spans="1:32" ht="57.6" customHeight="1" thickBot="1" x14ac:dyDescent="0.3">
      <c r="A14" s="116" t="s">
        <v>29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8"/>
    </row>
    <row r="15" spans="1:32" ht="22.5" customHeight="1" x14ac:dyDescent="0.25">
      <c r="A15" s="151" t="s">
        <v>48</v>
      </c>
      <c r="B15" s="24" t="s">
        <v>37</v>
      </c>
      <c r="C15" s="25"/>
      <c r="D15" s="25"/>
      <c r="E15" s="25"/>
      <c r="F15" s="25"/>
      <c r="G15" s="25"/>
      <c r="H15" s="26"/>
      <c r="I15" s="27" t="s">
        <v>38</v>
      </c>
      <c r="J15" s="28"/>
      <c r="K15" s="28"/>
      <c r="L15" s="28"/>
      <c r="M15" s="28"/>
      <c r="N15" s="29"/>
      <c r="O15" s="30" t="s">
        <v>39</v>
      </c>
      <c r="P15" s="31"/>
      <c r="Q15" s="31"/>
      <c r="R15" s="31"/>
      <c r="S15" s="32"/>
      <c r="T15" s="14"/>
      <c r="U15" s="33" t="s">
        <v>40</v>
      </c>
      <c r="V15" s="34"/>
      <c r="W15" s="35"/>
      <c r="X15" s="4"/>
      <c r="Y15" s="4"/>
      <c r="Z15" s="13"/>
      <c r="AA15" s="152" t="s">
        <v>48</v>
      </c>
      <c r="AB15" s="47" t="s">
        <v>6</v>
      </c>
      <c r="AC15" s="48"/>
      <c r="AD15" s="48"/>
      <c r="AE15" s="48"/>
      <c r="AF15" s="49"/>
    </row>
    <row r="16" spans="1:32" ht="22.5" customHeight="1" x14ac:dyDescent="0.25">
      <c r="A16" s="56"/>
      <c r="B16" s="15" t="s">
        <v>42</v>
      </c>
      <c r="C16" s="15" t="s">
        <v>0</v>
      </c>
      <c r="D16" s="15" t="s">
        <v>1</v>
      </c>
      <c r="E16" s="15" t="s">
        <v>2</v>
      </c>
      <c r="F16" s="15" t="s">
        <v>3</v>
      </c>
      <c r="G16" s="15" t="s">
        <v>43</v>
      </c>
      <c r="H16" s="15"/>
      <c r="I16" s="16" t="s">
        <v>9</v>
      </c>
      <c r="J16" s="16" t="s">
        <v>0</v>
      </c>
      <c r="K16" s="16" t="s">
        <v>1</v>
      </c>
      <c r="L16" s="16" t="s">
        <v>2</v>
      </c>
      <c r="M16" s="16" t="s">
        <v>3</v>
      </c>
      <c r="N16" s="16"/>
      <c r="O16" s="17" t="s">
        <v>0</v>
      </c>
      <c r="P16" s="17" t="s">
        <v>1</v>
      </c>
      <c r="Q16" s="17" t="s">
        <v>2</v>
      </c>
      <c r="R16" s="17" t="s">
        <v>3</v>
      </c>
      <c r="S16" s="17" t="s">
        <v>43</v>
      </c>
      <c r="T16" s="17"/>
      <c r="U16" s="18" t="s">
        <v>10</v>
      </c>
      <c r="V16" s="18" t="s">
        <v>8</v>
      </c>
      <c r="W16" s="18"/>
      <c r="X16" s="4"/>
      <c r="Y16" s="4"/>
      <c r="Z16" s="4"/>
      <c r="AA16" s="57"/>
      <c r="AB16" s="50"/>
      <c r="AC16" s="51"/>
      <c r="AD16" s="51"/>
      <c r="AE16" s="51"/>
      <c r="AF16" s="52"/>
    </row>
    <row r="17" spans="1:32" ht="34.200000000000003" customHeight="1" x14ac:dyDescent="0.25">
      <c r="A17" s="3" t="s">
        <v>11</v>
      </c>
      <c r="B17" s="7">
        <f t="shared" ref="B17:G17" si="0">B11</f>
        <v>148</v>
      </c>
      <c r="C17" s="7">
        <f t="shared" si="0"/>
        <v>481</v>
      </c>
      <c r="D17" s="7">
        <f t="shared" si="0"/>
        <v>689</v>
      </c>
      <c r="E17" s="7">
        <f t="shared" si="0"/>
        <v>459</v>
      </c>
      <c r="F17" s="7">
        <f t="shared" si="0"/>
        <v>247</v>
      </c>
      <c r="G17" s="7">
        <f t="shared" si="0"/>
        <v>124</v>
      </c>
      <c r="H17" s="7"/>
      <c r="I17" s="7">
        <f>I11</f>
        <v>93</v>
      </c>
      <c r="J17" s="7">
        <f>J11</f>
        <v>236</v>
      </c>
      <c r="K17" s="7">
        <f>K11</f>
        <v>263</v>
      </c>
      <c r="L17" s="7">
        <f>L11</f>
        <v>188</v>
      </c>
      <c r="M17" s="7">
        <f>M11</f>
        <v>81</v>
      </c>
      <c r="N17" s="7"/>
      <c r="O17" s="7">
        <f>O11</f>
        <v>31</v>
      </c>
      <c r="P17" s="7">
        <f>P11</f>
        <v>164</v>
      </c>
      <c r="Q17" s="7">
        <f>Q11</f>
        <v>131</v>
      </c>
      <c r="R17" s="7">
        <f>R11</f>
        <v>74</v>
      </c>
      <c r="S17" s="7">
        <f>S11</f>
        <v>30</v>
      </c>
      <c r="T17" s="7"/>
      <c r="U17" s="7">
        <f>U11</f>
        <v>95</v>
      </c>
      <c r="V17" s="7">
        <f>V11</f>
        <v>48</v>
      </c>
      <c r="W17" s="7"/>
      <c r="X17" s="149"/>
      <c r="Y17" s="149"/>
      <c r="Z17" s="149"/>
      <c r="AA17" s="150">
        <f>SUM(B17:Z17)</f>
        <v>3582</v>
      </c>
      <c r="AB17" s="50"/>
      <c r="AC17" s="51"/>
      <c r="AD17" s="51"/>
      <c r="AE17" s="51"/>
      <c r="AF17" s="52"/>
    </row>
    <row r="18" spans="1:32" ht="34.200000000000003" customHeight="1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149"/>
      <c r="AA18" s="150"/>
      <c r="AB18" s="50"/>
      <c r="AC18" s="51"/>
      <c r="AD18" s="51"/>
      <c r="AE18" s="51"/>
      <c r="AF18" s="52"/>
    </row>
    <row r="19" spans="1:32" ht="22.5" customHeight="1" thickBot="1" x14ac:dyDescent="0.3">
      <c r="A19" s="8"/>
      <c r="B19" s="9">
        <f>SUM(B17:B18)</f>
        <v>148</v>
      </c>
      <c r="C19" s="9">
        <f>SUM(C17:C18)</f>
        <v>481</v>
      </c>
      <c r="D19" s="9">
        <f>SUM(D17:D18)</f>
        <v>689</v>
      </c>
      <c r="E19" s="9">
        <f>SUM(E17:E18)</f>
        <v>459</v>
      </c>
      <c r="F19" s="9">
        <f>SUM(F17:F18)</f>
        <v>247</v>
      </c>
      <c r="G19" s="9">
        <f>SUM(G17:G18)</f>
        <v>124</v>
      </c>
      <c r="H19" s="9"/>
      <c r="I19" s="9">
        <f>SUM(I17:I18)</f>
        <v>93</v>
      </c>
      <c r="J19" s="9">
        <f>SUM(J17:J18)</f>
        <v>236</v>
      </c>
      <c r="K19" s="9">
        <f>SUM(K17:K18)</f>
        <v>263</v>
      </c>
      <c r="L19" s="9">
        <f>SUM(L17:L18)</f>
        <v>188</v>
      </c>
      <c r="M19" s="9">
        <f>SUM(M17:M18)</f>
        <v>81</v>
      </c>
      <c r="N19" s="9"/>
      <c r="O19" s="9">
        <f>SUM(O17:O18)</f>
        <v>31</v>
      </c>
      <c r="P19" s="9">
        <f>SUM(P17:P18)</f>
        <v>164</v>
      </c>
      <c r="Q19" s="9">
        <f>SUM(Q17:Q18)</f>
        <v>131</v>
      </c>
      <c r="R19" s="9">
        <f>SUM(R17:R18)</f>
        <v>74</v>
      </c>
      <c r="S19" s="9">
        <f>SUM(S17:S18)</f>
        <v>30</v>
      </c>
      <c r="T19" s="9"/>
      <c r="U19" s="9">
        <f>SUM(U17:U18)</f>
        <v>95</v>
      </c>
      <c r="V19" s="9">
        <f>SUM(V17:V18)</f>
        <v>48</v>
      </c>
      <c r="W19" s="9"/>
      <c r="X19" s="10"/>
      <c r="Y19" s="11"/>
      <c r="Z19" s="11"/>
      <c r="AA19" s="12">
        <f>SUM(B17:Z18)</f>
        <v>3582</v>
      </c>
      <c r="AB19" s="53"/>
      <c r="AC19" s="54"/>
      <c r="AD19" s="54"/>
      <c r="AE19" s="54"/>
      <c r="AF19" s="55"/>
    </row>
  </sheetData>
  <mergeCells count="50">
    <mergeCell ref="A7:AF7"/>
    <mergeCell ref="A14:AF14"/>
    <mergeCell ref="Y8:AA10"/>
    <mergeCell ref="AB8:AB10"/>
    <mergeCell ref="AC8:AC10"/>
    <mergeCell ref="AD8:AD10"/>
    <mergeCell ref="AE8:AE10"/>
    <mergeCell ref="AF8:AF10"/>
    <mergeCell ref="X9:X10"/>
    <mergeCell ref="W3:AF3"/>
    <mergeCell ref="A4:B4"/>
    <mergeCell ref="C4:F4"/>
    <mergeCell ref="G4:J4"/>
    <mergeCell ref="K4:Q4"/>
    <mergeCell ref="R4:V6"/>
    <mergeCell ref="W4:AF6"/>
    <mergeCell ref="A5:B5"/>
    <mergeCell ref="C5:F5"/>
    <mergeCell ref="G5:J5"/>
    <mergeCell ref="K5:Q5"/>
    <mergeCell ref="A6:B6"/>
    <mergeCell ref="C6:F6"/>
    <mergeCell ref="G6:J6"/>
    <mergeCell ref="K6:Q6"/>
    <mergeCell ref="A3:B3"/>
    <mergeCell ref="C3:F3"/>
    <mergeCell ref="G3:J3"/>
    <mergeCell ref="K3:Q3"/>
    <mergeCell ref="R3:V3"/>
    <mergeCell ref="A15:A16"/>
    <mergeCell ref="B15:H15"/>
    <mergeCell ref="I15:N15"/>
    <mergeCell ref="O15:S15"/>
    <mergeCell ref="U15:W15"/>
    <mergeCell ref="Y13:AA13"/>
    <mergeCell ref="AB11:AB12"/>
    <mergeCell ref="AC11:AC12"/>
    <mergeCell ref="AD11:AD12"/>
    <mergeCell ref="AB15:AF19"/>
    <mergeCell ref="AA15:AA16"/>
    <mergeCell ref="AF11:AF12"/>
    <mergeCell ref="A8:A10"/>
    <mergeCell ref="B8:X8"/>
    <mergeCell ref="B9:H9"/>
    <mergeCell ref="I9:N9"/>
    <mergeCell ref="O9:S9"/>
    <mergeCell ref="U9:W9"/>
    <mergeCell ref="Y11:AA12"/>
    <mergeCell ref="AE11:AE12"/>
    <mergeCell ref="A1:AF2"/>
  </mergeCells>
  <phoneticPr fontId="33" type="noConversion"/>
  <pageMargins left="0.39370078740157499" right="0.196850393700787" top="0.59055118110236204" bottom="1.04" header="0.39370078740157499" footer="0.70866141732283505"/>
  <pageSetup paperSize="9" scale="58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3.13</vt:lpstr>
      <vt:lpstr>'3.13'!Print_Area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cp:revision>1</cp:revision>
  <cp:lastPrinted>2023-06-26T02:41:00Z</cp:lastPrinted>
  <dcterms:created xsi:type="dcterms:W3CDTF">2015-09-02T03:31:00Z</dcterms:created>
  <dcterms:modified xsi:type="dcterms:W3CDTF">2026-03-13T08:25:54Z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9878D1CD5F614E8FAEC01A3567C89653_12</vt:lpwstr>
  </property>
</Properties>
</file>