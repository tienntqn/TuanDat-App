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ien.nt\Desktop\Form Tram\"/>
    </mc:Choice>
  </mc:AlternateContent>
  <xr:revisionPtr revIDLastSave="0" documentId="8_{CC0FD211-31CC-47EB-B2B4-E6553E989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3" r:id="rId1"/>
  </sheets>
  <definedNames>
    <definedName name="_xlnm.Print_Area" localSheetId="0">Data!$A$1:$V$81</definedName>
  </definedNames>
  <calcPr calcId="191029"/>
</workbook>
</file>

<file path=xl/calcChain.xml><?xml version="1.0" encoding="utf-8"?>
<calcChain xmlns="http://schemas.openxmlformats.org/spreadsheetml/2006/main">
  <c r="B47" i="3" l="1"/>
  <c r="C47" i="3"/>
  <c r="D47" i="3"/>
  <c r="E47" i="3"/>
  <c r="F47" i="3"/>
  <c r="H47" i="3"/>
  <c r="I47" i="3"/>
  <c r="J47" i="3"/>
  <c r="K47" i="3"/>
  <c r="L47" i="3"/>
  <c r="B72" i="3" l="1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C71" i="3"/>
  <c r="D71" i="3"/>
  <c r="E71" i="3"/>
  <c r="F71" i="3"/>
  <c r="B71" i="3"/>
  <c r="L67" i="3"/>
  <c r="K67" i="3"/>
  <c r="J67" i="3"/>
  <c r="I67" i="3"/>
  <c r="H67" i="3"/>
  <c r="F67" i="3"/>
  <c r="E67" i="3"/>
  <c r="D67" i="3"/>
  <c r="C67" i="3"/>
  <c r="B67" i="3"/>
  <c r="N66" i="3"/>
  <c r="N65" i="3"/>
  <c r="N64" i="3"/>
  <c r="N63" i="3"/>
  <c r="N62" i="3"/>
  <c r="N61" i="3"/>
  <c r="Q77" i="3"/>
  <c r="M76" i="3"/>
  <c r="L76" i="3"/>
  <c r="K76" i="3"/>
  <c r="J76" i="3"/>
  <c r="I76" i="3"/>
  <c r="H76" i="3"/>
  <c r="M75" i="3"/>
  <c r="L75" i="3"/>
  <c r="K75" i="3"/>
  <c r="J75" i="3"/>
  <c r="I75" i="3"/>
  <c r="H75" i="3"/>
  <c r="M74" i="3"/>
  <c r="L74" i="3"/>
  <c r="K74" i="3"/>
  <c r="J74" i="3"/>
  <c r="I74" i="3"/>
  <c r="H74" i="3"/>
  <c r="M73" i="3"/>
  <c r="L73" i="3"/>
  <c r="K73" i="3"/>
  <c r="J73" i="3"/>
  <c r="I73" i="3"/>
  <c r="H73" i="3"/>
  <c r="M72" i="3"/>
  <c r="L72" i="3"/>
  <c r="K72" i="3"/>
  <c r="J72" i="3"/>
  <c r="I72" i="3"/>
  <c r="H72" i="3"/>
  <c r="M71" i="3"/>
  <c r="L71" i="3"/>
  <c r="K71" i="3"/>
  <c r="J71" i="3"/>
  <c r="I71" i="3"/>
  <c r="H71" i="3"/>
  <c r="L57" i="3"/>
  <c r="K57" i="3"/>
  <c r="J57" i="3"/>
  <c r="I57" i="3"/>
  <c r="H57" i="3"/>
  <c r="F57" i="3"/>
  <c r="E57" i="3"/>
  <c r="D57" i="3"/>
  <c r="C57" i="3"/>
  <c r="B57" i="3"/>
  <c r="N56" i="3"/>
  <c r="N55" i="3"/>
  <c r="N54" i="3"/>
  <c r="N53" i="3"/>
  <c r="N52" i="3"/>
  <c r="N51" i="3"/>
  <c r="N46" i="3"/>
  <c r="N45" i="3"/>
  <c r="N44" i="3"/>
  <c r="N43" i="3"/>
  <c r="N42" i="3"/>
  <c r="N41" i="3"/>
  <c r="L37" i="3"/>
  <c r="K37" i="3"/>
  <c r="J37" i="3"/>
  <c r="I37" i="3"/>
  <c r="H37" i="3"/>
  <c r="F37" i="3"/>
  <c r="E37" i="3"/>
  <c r="D37" i="3"/>
  <c r="C37" i="3"/>
  <c r="B37" i="3"/>
  <c r="N36" i="3"/>
  <c r="N35" i="3"/>
  <c r="N34" i="3"/>
  <c r="N33" i="3"/>
  <c r="N32" i="3"/>
  <c r="N31" i="3"/>
  <c r="L27" i="3"/>
  <c r="K27" i="3"/>
  <c r="J27" i="3"/>
  <c r="I27" i="3"/>
  <c r="H27" i="3"/>
  <c r="F27" i="3"/>
  <c r="E27" i="3"/>
  <c r="D27" i="3"/>
  <c r="C27" i="3"/>
  <c r="B27" i="3"/>
  <c r="N26" i="3"/>
  <c r="N25" i="3"/>
  <c r="N24" i="3"/>
  <c r="N23" i="3"/>
  <c r="N22" i="3"/>
  <c r="N21" i="3"/>
  <c r="L17" i="3"/>
  <c r="K17" i="3"/>
  <c r="J17" i="3"/>
  <c r="I17" i="3"/>
  <c r="H17" i="3"/>
  <c r="F17" i="3"/>
  <c r="E17" i="3"/>
  <c r="D17" i="3"/>
  <c r="C17" i="3"/>
  <c r="B17" i="3"/>
  <c r="N16" i="3"/>
  <c r="N15" i="3"/>
  <c r="N14" i="3"/>
  <c r="N13" i="3"/>
  <c r="N12" i="3"/>
  <c r="N11" i="3"/>
  <c r="N47" i="3" l="1"/>
  <c r="Q74" i="3"/>
  <c r="H78" i="3"/>
  <c r="L78" i="3"/>
  <c r="C78" i="3"/>
  <c r="N67" i="3"/>
  <c r="D78" i="3"/>
  <c r="M78" i="3"/>
  <c r="N17" i="3"/>
  <c r="N27" i="3"/>
  <c r="N37" i="3"/>
  <c r="N57" i="3"/>
  <c r="Q78" i="3"/>
  <c r="F78" i="3"/>
  <c r="K78" i="3"/>
  <c r="Q75" i="3"/>
  <c r="Q73" i="3"/>
  <c r="I78" i="3"/>
  <c r="E78" i="3"/>
  <c r="J78" i="3"/>
  <c r="Q72" i="3"/>
  <c r="Q76" i="3"/>
  <c r="B78" i="3"/>
  <c r="Q71" i="3"/>
</calcChain>
</file>

<file path=xl/sharedStrings.xml><?xml version="1.0" encoding="utf-8"?>
<sst xmlns="http://schemas.openxmlformats.org/spreadsheetml/2006/main" count="233" uniqueCount="69">
  <si>
    <t>S</t>
  </si>
  <si>
    <t>M</t>
  </si>
  <si>
    <t>L</t>
  </si>
  <si>
    <t>XL</t>
  </si>
  <si>
    <t>PO#</t>
  </si>
  <si>
    <r>
      <rPr>
        <sz val="12"/>
        <rFont val="Arial"/>
        <family val="2"/>
      </rPr>
      <t xml:space="preserve"> </t>
    </r>
  </si>
  <si>
    <t>EDDIE BAUER</t>
  </si>
  <si>
    <t>EB000680M</t>
    <phoneticPr fontId="31" type="noConversion"/>
  </si>
  <si>
    <t>STROM</t>
  </si>
  <si>
    <t>STROM</t>
    <phoneticPr fontId="31" type="noConversion"/>
  </si>
  <si>
    <t xml:space="preserve">PICANTE  </t>
  </si>
  <si>
    <t xml:space="preserve">PICANTE  </t>
    <phoneticPr fontId="31" type="noConversion"/>
  </si>
  <si>
    <t>PEAR</t>
  </si>
  <si>
    <t>ASPARAGUS</t>
  </si>
  <si>
    <t>MERIDBLUE</t>
  </si>
  <si>
    <t>ASPARAGUS</t>
    <phoneticPr fontId="31" type="noConversion"/>
  </si>
  <si>
    <t>MERIDIAN BLUE</t>
    <phoneticPr fontId="31" type="noConversion"/>
  </si>
  <si>
    <t>PEARL</t>
    <phoneticPr fontId="31" type="noConversion"/>
  </si>
  <si>
    <t>GRUPO SPORT</t>
    <phoneticPr fontId="31" type="noConversion"/>
  </si>
  <si>
    <t>GSP-FH26-0044</t>
    <phoneticPr fontId="31" type="noConversion"/>
  </si>
  <si>
    <t>TBA</t>
    <phoneticPr fontId="31" type="noConversion"/>
  </si>
  <si>
    <t>Grupo VDP</t>
    <phoneticPr fontId="31" type="noConversion"/>
  </si>
  <si>
    <t>SCANDINAVIAN</t>
    <phoneticPr fontId="31" type="noConversion"/>
  </si>
  <si>
    <t>Super Deporte Ecuador/ Chile</t>
    <phoneticPr fontId="31" type="noConversion"/>
  </si>
  <si>
    <t>10587 10730</t>
    <phoneticPr fontId="31" type="noConversion"/>
  </si>
  <si>
    <t>PEAR</t>
    <phoneticPr fontId="31" type="noConversion"/>
  </si>
  <si>
    <t>881141 10587 10730 6299 61833</t>
    <phoneticPr fontId="31" type="noConversion"/>
  </si>
  <si>
    <t>JIANGSU SOHO TECHNOLOGY</t>
  </si>
  <si>
    <t>SEASON</t>
  </si>
  <si>
    <t>FALL 2026</t>
    <phoneticPr fontId="34" type="noConversion"/>
  </si>
  <si>
    <t>STYLE#</t>
    <phoneticPr fontId="34" type="noConversion"/>
  </si>
  <si>
    <t>UPDATED LOG</t>
  </si>
  <si>
    <t>DATE</t>
  </si>
  <si>
    <t>3/13/2026</t>
    <phoneticPr fontId="31" type="noConversion"/>
  </si>
  <si>
    <t>DIVISION</t>
    <phoneticPr fontId="31" type="noConversion"/>
  </si>
  <si>
    <t>Business III</t>
    <phoneticPr fontId="31" type="noConversion"/>
  </si>
  <si>
    <t>RVSD DATE</t>
  </si>
  <si>
    <t>REF NAM</t>
    <phoneticPr fontId="34" type="noConversion"/>
  </si>
  <si>
    <t>CUSTOMER</t>
  </si>
  <si>
    <t>FTIY</t>
    <phoneticPr fontId="34" type="noConversion"/>
  </si>
  <si>
    <t>VN - TUAN DAT</t>
    <phoneticPr fontId="31" type="noConversion"/>
  </si>
  <si>
    <t xml:space="preserve">ORDER SHEET (QTY BREAKDOWN) </t>
  </si>
  <si>
    <t>RIPPAC PRO RAIN JACKET</t>
    <phoneticPr fontId="31" type="noConversion"/>
  </si>
  <si>
    <t>DRN#13651999</t>
    <phoneticPr fontId="31" type="noConversion"/>
  </si>
  <si>
    <t>ECOM</t>
    <phoneticPr fontId="31" type="noConversion"/>
  </si>
  <si>
    <t>COLOR</t>
    <phoneticPr fontId="31" type="noConversion"/>
  </si>
  <si>
    <t>SIZE BREAK DOWN</t>
    <phoneticPr fontId="31" type="noConversion"/>
  </si>
  <si>
    <t xml:space="preserve">PACK </t>
    <phoneticPr fontId="31" type="noConversion"/>
  </si>
  <si>
    <t>REGION</t>
  </si>
  <si>
    <t>LABEL</t>
  </si>
  <si>
    <t>DELIVERY</t>
  </si>
  <si>
    <t>REMARK</t>
  </si>
  <si>
    <t>REGULAR - OMA</t>
    <phoneticPr fontId="31" type="noConversion"/>
  </si>
  <si>
    <t>TALL - OMT</t>
    <phoneticPr fontId="31" type="noConversion"/>
  </si>
  <si>
    <t>TOTAL</t>
    <phoneticPr fontId="31" type="noConversion"/>
  </si>
  <si>
    <t>2XL</t>
    <phoneticPr fontId="31" type="noConversion"/>
  </si>
  <si>
    <t>3XL</t>
    <phoneticPr fontId="31" type="noConversion"/>
  </si>
  <si>
    <t>INDIVIDUAL POLYBAG, 
24PCS PER CARTON</t>
    <phoneticPr fontId="31" type="noConversion"/>
  </si>
  <si>
    <t xml:space="preserve">BLACK </t>
    <phoneticPr fontId="31" type="noConversion"/>
  </si>
  <si>
    <t>BLACK</t>
    <phoneticPr fontId="31" type="noConversion"/>
  </si>
  <si>
    <t>INDIVIDUAL POLYBAG</t>
    <phoneticPr fontId="31" type="noConversion"/>
  </si>
  <si>
    <t>BLACK</t>
    <phoneticPr fontId="31" type="noConversion"/>
  </si>
  <si>
    <t>TOTAL</t>
    <phoneticPr fontId="31" type="noConversion"/>
  </si>
  <si>
    <t>TOTAL</t>
    <phoneticPr fontId="31" type="noConversion"/>
  </si>
  <si>
    <t>SUMMARY</t>
    <phoneticPr fontId="31" type="noConversion"/>
  </si>
  <si>
    <t>BLACK</t>
    <phoneticPr fontId="31" type="noConversion"/>
  </si>
  <si>
    <t>TOTAL</t>
    <phoneticPr fontId="31" type="noConversion"/>
  </si>
  <si>
    <t>TOTAL</t>
    <phoneticPr fontId="31" type="noConversion"/>
  </si>
  <si>
    <t xml:space="preserve">OFF PRICE 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</si>
</sst>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9">
    <font>
      <sz val="12"/>
      <name val="宋体"/>
      <charset val="134"/>
    </font>
    <font>
      <sz val="12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宋体"/>
      <family val="3"/>
      <charset val="134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Comic Sans MS"/>
      <family val="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omic Sans MS"/>
      <family val="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3"/>
      <charset val="134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name val="Arial"/>
      <family val="2"/>
    </font>
    <font>
      <sz val="9"/>
      <name val="Tahoma"/>
      <family val="2"/>
      <charset val="134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b/>
      <sz val="1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77">
    <xf numFmtId="0" fontId="0" fillId="0" borderId="0">
      <alignment vertical="center"/>
    </xf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41" applyNumberFormat="0" applyAlignment="0" applyProtection="0"/>
    <xf numFmtId="0" fontId="14" fillId="22" borderId="42" applyNumberFormat="0" applyAlignment="0" applyProtection="0"/>
    <xf numFmtId="43" fontId="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43" applyNumberFormat="0" applyFill="0" applyAlignment="0" applyProtection="0"/>
    <xf numFmtId="0" fontId="19" fillId="0" borderId="44" applyNumberFormat="0" applyFill="0" applyAlignment="0" applyProtection="0"/>
    <xf numFmtId="0" fontId="20" fillId="0" borderId="45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8" borderId="41" applyNumberFormat="0" applyAlignment="0" applyProtection="0"/>
    <xf numFmtId="0" fontId="23" fillId="0" borderId="46" applyNumberFormat="0" applyFill="0" applyAlignment="0" applyProtection="0"/>
    <xf numFmtId="0" fontId="24" fillId="23" borderId="0" applyNumberFormat="0" applyBorder="0" applyAlignment="0" applyProtection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4" fillId="0" borderId="0">
      <alignment vertical="center"/>
    </xf>
    <xf numFmtId="0" fontId="4" fillId="24" borderId="47" applyNumberFormat="0" applyFont="0" applyAlignment="0" applyProtection="0"/>
    <xf numFmtId="0" fontId="4" fillId="24" borderId="47" applyNumberFormat="0" applyFont="0" applyAlignment="0" applyProtection="0"/>
    <xf numFmtId="0" fontId="4" fillId="24" borderId="47" applyNumberFormat="0" applyFont="0" applyAlignment="0" applyProtection="0"/>
    <xf numFmtId="0" fontId="26" fillId="21" borderId="48" applyNumberFormat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49" applyNumberFormat="0" applyFill="0" applyAlignment="0" applyProtection="0"/>
    <xf numFmtId="0" fontId="2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32" fillId="0" borderId="0">
      <alignment vertical="center"/>
    </xf>
  </cellStyleXfs>
  <cellXfs count="1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1" fillId="2" borderId="34" xfId="0" applyFont="1" applyFill="1" applyBorder="1">
      <alignment vertical="center"/>
    </xf>
    <xf numFmtId="0" fontId="7" fillId="2" borderId="3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1" fillId="0" borderId="0" xfId="0" applyFont="1" applyAlignment="1"/>
    <xf numFmtId="0" fontId="5" fillId="25" borderId="7" xfId="76" applyFont="1" applyFill="1" applyBorder="1" applyAlignment="1">
      <alignment horizontal="center" vertical="center"/>
    </xf>
    <xf numFmtId="0" fontId="5" fillId="26" borderId="27" xfId="76" applyFont="1" applyFill="1" applyBorder="1" applyAlignment="1">
      <alignment horizontal="center" vertical="center"/>
    </xf>
    <xf numFmtId="0" fontId="5" fillId="26" borderId="7" xfId="76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25" borderId="61" xfId="76" applyFont="1" applyFill="1" applyBorder="1" applyAlignment="1">
      <alignment horizontal="center" vertical="center"/>
    </xf>
    <xf numFmtId="0" fontId="5" fillId="25" borderId="54" xfId="76" applyFont="1" applyFill="1" applyBorder="1" applyAlignment="1">
      <alignment horizontal="center" vertical="center"/>
    </xf>
    <xf numFmtId="0" fontId="5" fillId="25" borderId="31" xfId="76" applyFont="1" applyFill="1" applyBorder="1" applyAlignment="1">
      <alignment horizontal="center" vertical="center"/>
    </xf>
    <xf numFmtId="0" fontId="5" fillId="26" borderId="61" xfId="76" applyFont="1" applyFill="1" applyBorder="1" applyAlignment="1">
      <alignment horizontal="center" vertical="center"/>
    </xf>
    <xf numFmtId="0" fontId="5" fillId="26" borderId="54" xfId="76" applyFont="1" applyFill="1" applyBorder="1" applyAlignment="1">
      <alignment horizontal="center" vertical="center"/>
    </xf>
    <xf numFmtId="0" fontId="5" fillId="26" borderId="31" xfId="76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35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36" xfId="0" applyFont="1" applyFill="1" applyBorder="1" applyAlignment="1">
      <alignment horizontal="left" vertical="top" wrapText="1"/>
    </xf>
    <xf numFmtId="0" fontId="1" fillId="2" borderId="38" xfId="0" applyFont="1" applyFill="1" applyBorder="1" applyAlignment="1">
      <alignment horizontal="left" vertical="top" wrapText="1"/>
    </xf>
    <xf numFmtId="0" fontId="1" fillId="2" borderId="39" xfId="0" applyFont="1" applyFill="1" applyBorder="1" applyAlignment="1">
      <alignment horizontal="left" vertical="top" wrapText="1"/>
    </xf>
    <xf numFmtId="0" fontId="1" fillId="2" borderId="4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2" borderId="4" xfId="76" applyFont="1" applyFill="1" applyBorder="1" applyAlignment="1">
      <alignment horizontal="center" vertical="center" wrapText="1"/>
    </xf>
    <xf numFmtId="0" fontId="2" fillId="2" borderId="25" xfId="76" applyFont="1" applyFill="1" applyBorder="1" applyAlignment="1">
      <alignment horizontal="center" vertical="center" wrapText="1"/>
    </xf>
    <xf numFmtId="0" fontId="2" fillId="2" borderId="7" xfId="76" applyFont="1" applyFill="1" applyBorder="1" applyAlignment="1">
      <alignment horizontal="center" vertical="center" wrapText="1"/>
    </xf>
    <xf numFmtId="0" fontId="2" fillId="2" borderId="14" xfId="76" applyFont="1" applyFill="1" applyBorder="1" applyAlignment="1">
      <alignment horizontal="center" vertical="center"/>
    </xf>
    <xf numFmtId="0" fontId="2" fillId="2" borderId="26" xfId="76" applyFont="1" applyFill="1" applyBorder="1" applyAlignment="1">
      <alignment horizontal="center" vertical="center"/>
    </xf>
    <xf numFmtId="0" fontId="2" fillId="2" borderId="53" xfId="76" applyFont="1" applyFill="1" applyBorder="1" applyAlignment="1">
      <alignment horizontal="center" vertical="center"/>
    </xf>
    <xf numFmtId="0" fontId="8" fillId="2" borderId="21" xfId="76" applyFont="1" applyFill="1" applyBorder="1" applyAlignment="1">
      <alignment horizontal="center" vertical="center"/>
    </xf>
    <xf numFmtId="0" fontId="5" fillId="2" borderId="7" xfId="76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0" fontId="38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7" fillId="2" borderId="18" xfId="0" applyFont="1" applyFill="1" applyBorder="1" applyAlignment="1">
      <alignment horizontal="center" vertical="center" wrapText="1"/>
    </xf>
    <xf numFmtId="0" fontId="37" fillId="2" borderId="19" xfId="0" applyFont="1" applyFill="1" applyBorder="1" applyAlignment="1">
      <alignment horizontal="center" vertical="center" wrapText="1"/>
    </xf>
    <xf numFmtId="0" fontId="37" fillId="2" borderId="20" xfId="0" applyFont="1" applyFill="1" applyBorder="1" applyAlignment="1">
      <alignment horizontal="center" vertical="center" wrapText="1"/>
    </xf>
    <xf numFmtId="0" fontId="37" fillId="2" borderId="23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7" fillId="2" borderId="24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14" fontId="4" fillId="2" borderId="21" xfId="0" applyNumberFormat="1" applyFont="1" applyFill="1" applyBorder="1" applyAlignment="1">
      <alignment horizontal="center" vertical="center" wrapText="1"/>
    </xf>
    <xf numFmtId="14" fontId="4" fillId="2" borderId="25" xfId="0" applyNumberFormat="1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33" fillId="0" borderId="35" xfId="72" applyFont="1" applyBorder="1" applyAlignment="1">
      <alignment horizontal="center" vertical="center" wrapText="1"/>
    </xf>
    <xf numFmtId="0" fontId="33" fillId="0" borderId="0" xfId="72" applyFont="1" applyAlignment="1">
      <alignment horizontal="center" vertical="center" wrapText="1"/>
    </xf>
    <xf numFmtId="0" fontId="1" fillId="27" borderId="56" xfId="73" applyFont="1" applyFill="1" applyBorder="1" applyAlignment="1">
      <alignment horizontal="center" vertical="center"/>
    </xf>
    <xf numFmtId="0" fontId="1" fillId="27" borderId="5" xfId="73" applyFont="1" applyFill="1" applyBorder="1" applyAlignment="1">
      <alignment horizontal="center" vertical="center"/>
    </xf>
    <xf numFmtId="0" fontId="1" fillId="0" borderId="15" xfId="74" applyFont="1" applyBorder="1" applyAlignment="1">
      <alignment horizontal="center" vertical="center"/>
    </xf>
    <xf numFmtId="0" fontId="1" fillId="0" borderId="16" xfId="74" applyFont="1" applyBorder="1" applyAlignment="1">
      <alignment horizontal="center" vertical="center"/>
    </xf>
    <xf numFmtId="0" fontId="1" fillId="0" borderId="57" xfId="74" applyFont="1" applyBorder="1" applyAlignment="1">
      <alignment horizontal="center" vertical="center"/>
    </xf>
    <xf numFmtId="0" fontId="1" fillId="0" borderId="15" xfId="73" applyFont="1" applyBorder="1" applyAlignment="1">
      <alignment horizontal="center" vertical="center"/>
    </xf>
    <xf numFmtId="0" fontId="1" fillId="0" borderId="57" xfId="73" applyFont="1" applyBorder="1" applyAlignment="1">
      <alignment horizontal="center" vertical="center"/>
    </xf>
    <xf numFmtId="0" fontId="1" fillId="2" borderId="15" xfId="74" applyFont="1" applyFill="1" applyBorder="1" applyAlignment="1">
      <alignment horizontal="center" vertical="center"/>
    </xf>
    <xf numFmtId="0" fontId="1" fillId="2" borderId="16" xfId="74" applyFont="1" applyFill="1" applyBorder="1" applyAlignment="1">
      <alignment horizontal="center" vertical="center"/>
    </xf>
    <xf numFmtId="0" fontId="1" fillId="2" borderId="57" xfId="74" applyFont="1" applyFill="1" applyBorder="1" applyAlignment="1">
      <alignment horizontal="center" vertical="center"/>
    </xf>
    <xf numFmtId="0" fontId="6" fillId="2" borderId="15" xfId="74" applyFont="1" applyFill="1" applyBorder="1" applyAlignment="1">
      <alignment horizontal="center" vertical="center"/>
    </xf>
    <xf numFmtId="0" fontId="6" fillId="2" borderId="16" xfId="74" applyFont="1" applyFill="1" applyBorder="1" applyAlignment="1">
      <alignment horizontal="center" vertical="center"/>
    </xf>
    <xf numFmtId="0" fontId="6" fillId="2" borderId="58" xfId="74" applyFont="1" applyFill="1" applyBorder="1" applyAlignment="1">
      <alignment horizontal="center" vertical="center"/>
    </xf>
    <xf numFmtId="0" fontId="1" fillId="28" borderId="11" xfId="74" applyFont="1" applyFill="1" applyBorder="1" applyAlignment="1">
      <alignment horizontal="left" vertical="center"/>
    </xf>
    <xf numFmtId="0" fontId="1" fillId="28" borderId="12" xfId="74" applyFont="1" applyFill="1" applyBorder="1" applyAlignment="1">
      <alignment horizontal="left" vertical="center"/>
    </xf>
    <xf numFmtId="0" fontId="1" fillId="28" borderId="30" xfId="74" applyFont="1" applyFill="1" applyBorder="1" applyAlignment="1">
      <alignment horizontal="left" vertical="center"/>
    </xf>
    <xf numFmtId="0" fontId="35" fillId="27" borderId="59" xfId="75" applyFont="1" applyFill="1" applyBorder="1" applyAlignment="1">
      <alignment horizontal="center" vertical="center"/>
    </xf>
    <xf numFmtId="0" fontId="35" fillId="27" borderId="60" xfId="75" applyFont="1" applyFill="1" applyBorder="1" applyAlignment="1">
      <alignment horizontal="center" vertical="center"/>
    </xf>
    <xf numFmtId="14" fontId="1" fillId="0" borderId="61" xfId="74" applyNumberFormat="1" applyFont="1" applyBorder="1" applyAlignment="1">
      <alignment horizontal="center" vertical="center"/>
    </xf>
    <xf numFmtId="14" fontId="1" fillId="0" borderId="54" xfId="74" applyNumberFormat="1" applyFont="1" applyBorder="1" applyAlignment="1">
      <alignment horizontal="center" vertical="center"/>
    </xf>
    <xf numFmtId="14" fontId="1" fillId="0" borderId="31" xfId="74" applyNumberFormat="1" applyFont="1" applyBorder="1" applyAlignment="1">
      <alignment horizontal="center" vertical="center"/>
    </xf>
    <xf numFmtId="0" fontId="1" fillId="27" borderId="61" xfId="75" applyFont="1" applyFill="1" applyBorder="1" applyAlignment="1">
      <alignment horizontal="center" vertical="center"/>
    </xf>
    <xf numFmtId="0" fontId="1" fillId="27" borderId="31" xfId="75" applyFont="1" applyFill="1" applyBorder="1" applyAlignment="1">
      <alignment horizontal="center" vertical="center"/>
    </xf>
    <xf numFmtId="0" fontId="1" fillId="2" borderId="61" xfId="74" applyFont="1" applyFill="1" applyBorder="1" applyAlignment="1">
      <alignment horizontal="center" vertical="center" wrapText="1"/>
    </xf>
    <xf numFmtId="0" fontId="1" fillId="2" borderId="54" xfId="74" applyFont="1" applyFill="1" applyBorder="1" applyAlignment="1">
      <alignment horizontal="center" vertical="center" wrapText="1"/>
    </xf>
    <xf numFmtId="0" fontId="1" fillId="2" borderId="31" xfId="74" applyFont="1" applyFill="1" applyBorder="1" applyAlignment="1">
      <alignment horizontal="center" vertical="center" wrapText="1"/>
    </xf>
    <xf numFmtId="0" fontId="1" fillId="2" borderId="18" xfId="74" applyFont="1" applyFill="1" applyBorder="1" applyAlignment="1">
      <alignment horizontal="center" vertical="top" wrapText="1"/>
    </xf>
    <xf numFmtId="0" fontId="1" fillId="2" borderId="19" xfId="74" applyFont="1" applyFill="1" applyBorder="1" applyAlignment="1">
      <alignment horizontal="center" vertical="top" wrapText="1"/>
    </xf>
    <xf numFmtId="0" fontId="1" fillId="2" borderId="62" xfId="74" applyFont="1" applyFill="1" applyBorder="1" applyAlignment="1">
      <alignment horizontal="center" vertical="top" wrapText="1"/>
    </xf>
    <xf numFmtId="0" fontId="1" fillId="2" borderId="23" xfId="74" applyFont="1" applyFill="1" applyBorder="1" applyAlignment="1">
      <alignment horizontal="center" vertical="top" wrapText="1"/>
    </xf>
    <xf numFmtId="0" fontId="1" fillId="2" borderId="0" xfId="74" applyFont="1" applyFill="1" applyAlignment="1">
      <alignment horizontal="center" vertical="top" wrapText="1"/>
    </xf>
    <xf numFmtId="0" fontId="1" fillId="2" borderId="36" xfId="74" applyFont="1" applyFill="1" applyBorder="1" applyAlignment="1">
      <alignment horizontal="center" vertical="top" wrapText="1"/>
    </xf>
    <xf numFmtId="0" fontId="1" fillId="2" borderId="37" xfId="74" applyFont="1" applyFill="1" applyBorder="1" applyAlignment="1">
      <alignment horizontal="center" vertical="top" wrapText="1"/>
    </xf>
    <xf numFmtId="0" fontId="1" fillId="2" borderId="39" xfId="74" applyFont="1" applyFill="1" applyBorder="1" applyAlignment="1">
      <alignment horizontal="center" vertical="top" wrapText="1"/>
    </xf>
    <xf numFmtId="0" fontId="1" fillId="2" borderId="40" xfId="74" applyFont="1" applyFill="1" applyBorder="1" applyAlignment="1">
      <alignment horizontal="center" vertical="top" wrapText="1"/>
    </xf>
    <xf numFmtId="0" fontId="1" fillId="0" borderId="3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36" fillId="27" borderId="59" xfId="75" applyFont="1" applyFill="1" applyBorder="1" applyAlignment="1">
      <alignment horizontal="center" vertical="center"/>
    </xf>
    <xf numFmtId="0" fontId="36" fillId="27" borderId="60" xfId="75" applyFont="1" applyFill="1" applyBorder="1" applyAlignment="1">
      <alignment horizontal="center" vertical="center"/>
    </xf>
    <xf numFmtId="14" fontId="36" fillId="0" borderId="61" xfId="74" applyNumberFormat="1" applyFont="1" applyBorder="1" applyAlignment="1">
      <alignment horizontal="center" vertical="center"/>
    </xf>
    <xf numFmtId="14" fontId="36" fillId="0" borderId="54" xfId="74" applyNumberFormat="1" applyFont="1" applyBorder="1" applyAlignment="1">
      <alignment horizontal="center" vertical="center"/>
    </xf>
    <xf numFmtId="14" fontId="36" fillId="0" borderId="31" xfId="74" applyNumberFormat="1" applyFont="1" applyBorder="1" applyAlignment="1">
      <alignment horizontal="center" vertical="center"/>
    </xf>
    <xf numFmtId="0" fontId="1" fillId="27" borderId="61" xfId="75" applyFont="1" applyFill="1" applyBorder="1" applyAlignment="1">
      <alignment horizontal="center" vertical="center" wrapText="1"/>
    </xf>
    <xf numFmtId="0" fontId="1" fillId="27" borderId="31" xfId="75" applyFont="1" applyFill="1" applyBorder="1" applyAlignment="1">
      <alignment horizontal="center" vertical="center" wrapText="1"/>
    </xf>
    <xf numFmtId="0" fontId="35" fillId="27" borderId="63" xfId="75" applyFont="1" applyFill="1" applyBorder="1" applyAlignment="1">
      <alignment horizontal="center" vertical="center"/>
    </xf>
    <xf numFmtId="0" fontId="35" fillId="27" borderId="21" xfId="75" applyFont="1" applyFill="1" applyBorder="1" applyAlignment="1">
      <alignment horizontal="center" vertical="center"/>
    </xf>
    <xf numFmtId="0" fontId="1" fillId="0" borderId="18" xfId="74" applyFont="1" applyBorder="1" applyAlignment="1">
      <alignment horizontal="center" vertical="center"/>
    </xf>
    <xf numFmtId="0" fontId="1" fillId="0" borderId="19" xfId="74" applyFont="1" applyBorder="1" applyAlignment="1">
      <alignment horizontal="center" vertical="center"/>
    </xf>
    <xf numFmtId="0" fontId="1" fillId="0" borderId="20" xfId="74" applyFont="1" applyBorder="1" applyAlignment="1">
      <alignment horizontal="center" vertical="center"/>
    </xf>
    <xf numFmtId="0" fontId="1" fillId="2" borderId="18" xfId="73" applyFont="1" applyFill="1" applyBorder="1" applyAlignment="1">
      <alignment horizontal="center" vertical="center" wrapText="1"/>
    </xf>
    <xf numFmtId="0" fontId="1" fillId="2" borderId="20" xfId="73" applyFont="1" applyFill="1" applyBorder="1" applyAlignment="1">
      <alignment horizontal="center" vertical="center" wrapText="1"/>
    </xf>
    <xf numFmtId="0" fontId="1" fillId="2" borderId="64" xfId="74" applyFont="1" applyFill="1" applyBorder="1" applyAlignment="1">
      <alignment horizontal="center" vertical="center" wrapText="1"/>
    </xf>
    <xf numFmtId="0" fontId="1" fillId="2" borderId="65" xfId="74" applyFont="1" applyFill="1" applyBorder="1" applyAlignment="1">
      <alignment horizontal="center" vertical="center" wrapText="1"/>
    </xf>
    <xf numFmtId="0" fontId="1" fillId="2" borderId="66" xfId="74" applyFont="1" applyFill="1" applyBorder="1" applyAlignment="1">
      <alignment horizontal="center" vertical="center" wrapText="1"/>
    </xf>
    <xf numFmtId="0" fontId="2" fillId="5" borderId="11" xfId="59" applyFont="1" applyFill="1" applyBorder="1" applyAlignment="1">
      <alignment horizontal="center" vertical="center" wrapText="1"/>
    </xf>
    <xf numFmtId="0" fontId="2" fillId="5" borderId="12" xfId="59" applyFont="1" applyFill="1" applyBorder="1" applyAlignment="1">
      <alignment horizontal="center" vertical="center" wrapText="1"/>
    </xf>
    <xf numFmtId="0" fontId="2" fillId="5" borderId="30" xfId="59" applyFont="1" applyFill="1" applyBorder="1" applyAlignment="1">
      <alignment horizontal="center" vertical="center" wrapText="1"/>
    </xf>
  </cellXfs>
  <cellStyles count="77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urrency 2" xfId="29" xr:uid="{00000000-0005-0000-0000-00001C000000}"/>
    <cellStyle name="Currency 2 2" xfId="30" xr:uid="{00000000-0005-0000-0000-00001D000000}"/>
    <cellStyle name="Currency 3" xfId="31" xr:uid="{00000000-0005-0000-0000-00001E000000}"/>
    <cellStyle name="Currency 3 2" xfId="32" xr:uid="{00000000-0005-0000-0000-00001F000000}"/>
    <cellStyle name="Currency 4" xfId="33" xr:uid="{00000000-0005-0000-0000-000020000000}"/>
    <cellStyle name="Explanatory Text 2" xfId="34" xr:uid="{00000000-0005-0000-0000-000021000000}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Hyperlink 2" xfId="40" xr:uid="{00000000-0005-0000-0000-000027000000}"/>
    <cellStyle name="Hyperlink 3" xfId="41" xr:uid="{00000000-0005-0000-0000-000028000000}"/>
    <cellStyle name="Input 2" xfId="42" xr:uid="{00000000-0005-0000-0000-000029000000}"/>
    <cellStyle name="Linked Cell 2" xfId="43" xr:uid="{00000000-0005-0000-0000-00002A000000}"/>
    <cellStyle name="Neutral 2" xfId="44" xr:uid="{00000000-0005-0000-0000-00002B000000}"/>
    <cellStyle name="Normal" xfId="0" builtinId="0"/>
    <cellStyle name="Normal 15" xfId="45" xr:uid="{00000000-0005-0000-0000-00002C000000}"/>
    <cellStyle name="Normal 15 2" xfId="46" xr:uid="{00000000-0005-0000-0000-00002D000000}"/>
    <cellStyle name="Normal 2" xfId="47" xr:uid="{00000000-0005-0000-0000-00002E000000}"/>
    <cellStyle name="Normal 2 2" xfId="48" xr:uid="{00000000-0005-0000-0000-00002F000000}"/>
    <cellStyle name="Normal 2 3" xfId="49" xr:uid="{00000000-0005-0000-0000-000030000000}"/>
    <cellStyle name="Normal 3" xfId="50" xr:uid="{00000000-0005-0000-0000-000031000000}"/>
    <cellStyle name="Normal 3 2" xfId="51" xr:uid="{00000000-0005-0000-0000-000032000000}"/>
    <cellStyle name="Normal 3 3" xfId="52" xr:uid="{00000000-0005-0000-0000-000033000000}"/>
    <cellStyle name="Normal 4" xfId="53" xr:uid="{00000000-0005-0000-0000-000034000000}"/>
    <cellStyle name="Normal 5" xfId="54" xr:uid="{00000000-0005-0000-0000-000035000000}"/>
    <cellStyle name="Normal 6" xfId="55" xr:uid="{00000000-0005-0000-0000-000036000000}"/>
    <cellStyle name="Normal 6 2" xfId="56" xr:uid="{00000000-0005-0000-0000-000037000000}"/>
    <cellStyle name="Normal 7" xfId="57" xr:uid="{00000000-0005-0000-0000-000038000000}"/>
    <cellStyle name="Normal 8" xfId="58" xr:uid="{00000000-0005-0000-0000-000039000000}"/>
    <cellStyle name="Normal_F88311_ACE_XDYE" xfId="73" xr:uid="{00000000-0005-0000-0000-00003A000000}"/>
    <cellStyle name="Normal_F88311_ACE_XDYE 2" xfId="75" xr:uid="{00000000-0005-0000-0000-00003B000000}"/>
    <cellStyle name="Normal_Kohls C87960" xfId="59" xr:uid="{00000000-0005-0000-0000-00003C000000}"/>
    <cellStyle name="Note 2" xfId="60" xr:uid="{00000000-0005-0000-0000-00003D000000}"/>
    <cellStyle name="Note 3" xfId="61" xr:uid="{00000000-0005-0000-0000-00003E000000}"/>
    <cellStyle name="Note 3 2" xfId="62" xr:uid="{00000000-0005-0000-0000-00003F000000}"/>
    <cellStyle name="Output 2" xfId="63" xr:uid="{00000000-0005-0000-0000-000040000000}"/>
    <cellStyle name="Percent 2" xfId="64" xr:uid="{00000000-0005-0000-0000-000041000000}"/>
    <cellStyle name="Percent 2 2" xfId="65" xr:uid="{00000000-0005-0000-0000-000042000000}"/>
    <cellStyle name="Percent 3" xfId="66" xr:uid="{00000000-0005-0000-0000-000043000000}"/>
    <cellStyle name="Percent 3 2" xfId="67" xr:uid="{00000000-0005-0000-0000-000044000000}"/>
    <cellStyle name="Percent 4" xfId="68" xr:uid="{00000000-0005-0000-0000-000045000000}"/>
    <cellStyle name="Title 2" xfId="69" xr:uid="{00000000-0005-0000-0000-000046000000}"/>
    <cellStyle name="Total 2" xfId="70" xr:uid="{00000000-0005-0000-0000-000047000000}"/>
    <cellStyle name="Warning Text 2" xfId="71" xr:uid="{00000000-0005-0000-0000-000048000000}"/>
    <cellStyle name="常规 2" xfId="72" xr:uid="{00000000-0005-0000-0000-00004A000000}"/>
    <cellStyle name="常规 3" xfId="76" xr:uid="{00000000-0005-0000-0000-00004B000000}"/>
    <cellStyle name="常规 36" xfId="74" xr:uid="{00000000-0005-0000-0000-00004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87086</xdr:colOff>
      <xdr:row>3</xdr:row>
      <xdr:rowOff>108857</xdr:rowOff>
    </xdr:from>
    <xdr:to>
      <xdr:col>14</xdr:col>
      <xdr:colOff>587829</xdr:colOff>
      <xdr:row>5</xdr:row>
      <xdr:rowOff>261257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4886" y="1175657"/>
          <a:ext cx="1948543" cy="936171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8"/>
  <sheetViews>
    <sheetView tabSelected="1" view="pageBreakPreview" topLeftCell="A19" zoomScale="70" zoomScaleNormal="70" zoomScaleSheetLayoutView="70" workbookViewId="0">
      <selection activeCell="I23" sqref="I23"/>
    </sheetView>
  </sheetViews>
  <sheetFormatPr defaultColWidth="8.69921875" defaultRowHeight="15"/>
  <cols>
    <col min="1" max="1" width="18.5" style="1" customWidth="1"/>
    <col min="2" max="2" width="10.8984375" style="1" customWidth="1"/>
    <col min="3" max="3" width="9.3984375" style="1" customWidth="1"/>
    <col min="4" max="4" width="8.09765625" style="1" customWidth="1"/>
    <col min="5" max="5" width="8" style="1" customWidth="1"/>
    <col min="6" max="13" width="9.19921875" style="1" customWidth="1"/>
    <col min="14" max="14" width="9.8984375" style="1" customWidth="1"/>
    <col min="15" max="16" width="8.69921875" style="1"/>
    <col min="17" max="17" width="12.3984375" style="1" customWidth="1"/>
    <col min="18" max="18" width="14.5" style="2" customWidth="1"/>
    <col min="19" max="19" width="9.5" style="1" customWidth="1"/>
    <col min="20" max="20" width="11.3984375" style="1" customWidth="1"/>
    <col min="21" max="21" width="12.19921875" style="1" customWidth="1"/>
    <col min="22" max="22" width="8.5" style="2" customWidth="1"/>
    <col min="23" max="16384" width="8.69921875" style="1"/>
  </cols>
  <sheetData>
    <row r="1" spans="1:22" s="24" customFormat="1" ht="19.95" customHeight="1">
      <c r="A1" s="91" t="s">
        <v>27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2" s="24" customFormat="1" ht="33" customHeight="1" thickBot="1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 spans="1:22" s="24" customFormat="1" ht="31.2" customHeight="1" thickBot="1">
      <c r="A3" s="93" t="s">
        <v>28</v>
      </c>
      <c r="B3" s="94"/>
      <c r="C3" s="95" t="s">
        <v>29</v>
      </c>
      <c r="D3" s="96"/>
      <c r="E3" s="96"/>
      <c r="F3" s="97"/>
      <c r="G3" s="98" t="s">
        <v>30</v>
      </c>
      <c r="H3" s="99"/>
      <c r="I3" s="100" t="s">
        <v>7</v>
      </c>
      <c r="J3" s="101"/>
      <c r="K3" s="101"/>
      <c r="L3" s="102"/>
      <c r="M3" s="103" t="s">
        <v>43</v>
      </c>
      <c r="N3" s="104"/>
      <c r="O3" s="105"/>
      <c r="P3" s="106" t="s">
        <v>31</v>
      </c>
      <c r="Q3" s="107"/>
      <c r="R3" s="107"/>
      <c r="S3" s="107"/>
      <c r="T3" s="107"/>
      <c r="U3" s="107"/>
      <c r="V3" s="108"/>
    </row>
    <row r="4" spans="1:22" s="24" customFormat="1" ht="31.2" customHeight="1">
      <c r="A4" s="109" t="s">
        <v>32</v>
      </c>
      <c r="B4" s="110"/>
      <c r="C4" s="111" t="s">
        <v>33</v>
      </c>
      <c r="D4" s="112"/>
      <c r="E4" s="112"/>
      <c r="F4" s="113"/>
      <c r="G4" s="114" t="s">
        <v>34</v>
      </c>
      <c r="H4" s="115"/>
      <c r="I4" s="116" t="s">
        <v>35</v>
      </c>
      <c r="J4" s="117"/>
      <c r="K4" s="117"/>
      <c r="L4" s="118"/>
      <c r="M4" s="119"/>
      <c r="N4" s="120"/>
      <c r="O4" s="121"/>
      <c r="P4" s="128"/>
      <c r="Q4" s="129"/>
      <c r="R4" s="129"/>
      <c r="S4" s="129"/>
      <c r="T4" s="129"/>
      <c r="U4" s="129"/>
      <c r="V4" s="130"/>
    </row>
    <row r="5" spans="1:22" s="24" customFormat="1" ht="31.2" customHeight="1">
      <c r="A5" s="134" t="s">
        <v>36</v>
      </c>
      <c r="B5" s="135"/>
      <c r="C5" s="136"/>
      <c r="D5" s="137"/>
      <c r="E5" s="137"/>
      <c r="F5" s="138"/>
      <c r="G5" s="139" t="s">
        <v>37</v>
      </c>
      <c r="H5" s="140"/>
      <c r="I5" s="116" t="s">
        <v>42</v>
      </c>
      <c r="J5" s="117"/>
      <c r="K5" s="117"/>
      <c r="L5" s="118"/>
      <c r="M5" s="122"/>
      <c r="N5" s="123"/>
      <c r="O5" s="124"/>
      <c r="P5" s="128"/>
      <c r="Q5" s="129"/>
      <c r="R5" s="129"/>
      <c r="S5" s="129"/>
      <c r="T5" s="129"/>
      <c r="U5" s="129"/>
      <c r="V5" s="130"/>
    </row>
    <row r="6" spans="1:22" s="24" customFormat="1" ht="31.2" customHeight="1" thickBot="1">
      <c r="A6" s="141" t="s">
        <v>38</v>
      </c>
      <c r="B6" s="142"/>
      <c r="C6" s="143" t="s">
        <v>68</v>
      </c>
      <c r="D6" s="144"/>
      <c r="E6" s="144"/>
      <c r="F6" s="145"/>
      <c r="G6" s="146" t="s">
        <v>39</v>
      </c>
      <c r="H6" s="147"/>
      <c r="I6" s="148" t="s">
        <v>40</v>
      </c>
      <c r="J6" s="149"/>
      <c r="K6" s="149"/>
      <c r="L6" s="150"/>
      <c r="M6" s="125"/>
      <c r="N6" s="126"/>
      <c r="O6" s="127"/>
      <c r="P6" s="131"/>
      <c r="Q6" s="132"/>
      <c r="R6" s="132"/>
      <c r="S6" s="132"/>
      <c r="T6" s="132"/>
      <c r="U6" s="132"/>
      <c r="V6" s="133"/>
    </row>
    <row r="7" spans="1:22" s="24" customFormat="1" ht="36" customHeight="1" thickBot="1">
      <c r="A7" s="151" t="s">
        <v>41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3"/>
    </row>
    <row r="8" spans="1:22" ht="24" customHeight="1">
      <c r="A8" s="47" t="s">
        <v>45</v>
      </c>
      <c r="B8" s="87" t="s">
        <v>46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50" t="s">
        <v>47</v>
      </c>
      <c r="P8" s="51"/>
      <c r="Q8" s="52"/>
      <c r="R8" s="59" t="s">
        <v>4</v>
      </c>
      <c r="S8" s="62" t="s">
        <v>48</v>
      </c>
      <c r="T8" s="62" t="s">
        <v>49</v>
      </c>
      <c r="U8" s="62" t="s">
        <v>50</v>
      </c>
      <c r="V8" s="65" t="s">
        <v>51</v>
      </c>
    </row>
    <row r="9" spans="1:22" ht="24" customHeight="1">
      <c r="A9" s="48"/>
      <c r="B9" s="30" t="s">
        <v>52</v>
      </c>
      <c r="C9" s="31"/>
      <c r="D9" s="31"/>
      <c r="E9" s="31"/>
      <c r="F9" s="32"/>
      <c r="G9" s="25"/>
      <c r="H9" s="33" t="s">
        <v>53</v>
      </c>
      <c r="I9" s="34"/>
      <c r="J9" s="34"/>
      <c r="K9" s="34"/>
      <c r="L9" s="35"/>
      <c r="M9" s="26"/>
      <c r="N9" s="68" t="s">
        <v>54</v>
      </c>
      <c r="O9" s="53"/>
      <c r="P9" s="54"/>
      <c r="Q9" s="55"/>
      <c r="R9" s="60"/>
      <c r="S9" s="63"/>
      <c r="T9" s="63"/>
      <c r="U9" s="63"/>
      <c r="V9" s="66"/>
    </row>
    <row r="10" spans="1:22" ht="24" customHeight="1">
      <c r="A10" s="49"/>
      <c r="B10" s="25" t="s">
        <v>0</v>
      </c>
      <c r="C10" s="25" t="s">
        <v>1</v>
      </c>
      <c r="D10" s="25" t="s">
        <v>2</v>
      </c>
      <c r="E10" s="25" t="s">
        <v>3</v>
      </c>
      <c r="F10" s="25" t="s">
        <v>55</v>
      </c>
      <c r="G10" s="25"/>
      <c r="H10" s="27" t="s">
        <v>1</v>
      </c>
      <c r="I10" s="27" t="s">
        <v>2</v>
      </c>
      <c r="J10" s="27" t="s">
        <v>3</v>
      </c>
      <c r="K10" s="27" t="s">
        <v>55</v>
      </c>
      <c r="L10" s="27" t="s">
        <v>56</v>
      </c>
      <c r="M10" s="27"/>
      <c r="N10" s="69"/>
      <c r="O10" s="56"/>
      <c r="P10" s="57"/>
      <c r="Q10" s="58"/>
      <c r="R10" s="61"/>
      <c r="S10" s="64"/>
      <c r="T10" s="64"/>
      <c r="U10" s="64"/>
      <c r="V10" s="67"/>
    </row>
    <row r="11" spans="1:22" ht="36.6" customHeight="1">
      <c r="A11" s="3" t="s">
        <v>58</v>
      </c>
      <c r="B11" s="4">
        <v>50</v>
      </c>
      <c r="C11" s="4">
        <v>156</v>
      </c>
      <c r="D11" s="4">
        <v>193</v>
      </c>
      <c r="E11" s="4">
        <v>105</v>
      </c>
      <c r="F11" s="4">
        <v>40</v>
      </c>
      <c r="G11" s="4"/>
      <c r="H11" s="4">
        <v>15</v>
      </c>
      <c r="I11" s="4">
        <v>49</v>
      </c>
      <c r="J11" s="4">
        <v>39</v>
      </c>
      <c r="K11" s="4">
        <v>18</v>
      </c>
      <c r="L11" s="4">
        <v>14</v>
      </c>
      <c r="M11" s="5"/>
      <c r="N11" s="6">
        <f>SUM(B11:M11)</f>
        <v>679</v>
      </c>
      <c r="O11" s="74" t="s">
        <v>57</v>
      </c>
      <c r="P11" s="75"/>
      <c r="Q11" s="76"/>
      <c r="R11" s="80">
        <v>37804555</v>
      </c>
      <c r="S11" s="80" t="s">
        <v>44</v>
      </c>
      <c r="T11" s="81" t="s">
        <v>6</v>
      </c>
      <c r="U11" s="83">
        <v>46172</v>
      </c>
      <c r="V11" s="85"/>
    </row>
    <row r="12" spans="1:22" ht="36.6" customHeight="1">
      <c r="A12" s="3" t="s">
        <v>9</v>
      </c>
      <c r="B12" s="4">
        <v>50</v>
      </c>
      <c r="C12" s="4">
        <v>156</v>
      </c>
      <c r="D12" s="4">
        <v>193</v>
      </c>
      <c r="E12" s="4">
        <v>105</v>
      </c>
      <c r="F12" s="4">
        <v>40</v>
      </c>
      <c r="G12" s="4"/>
      <c r="H12" s="4">
        <v>15</v>
      </c>
      <c r="I12" s="4">
        <v>49</v>
      </c>
      <c r="J12" s="4">
        <v>39</v>
      </c>
      <c r="K12" s="4">
        <v>18</v>
      </c>
      <c r="L12" s="4">
        <v>14</v>
      </c>
      <c r="M12" s="5"/>
      <c r="N12" s="6">
        <f t="shared" ref="N12:N16" si="0">SUM(B12:M12)</f>
        <v>679</v>
      </c>
      <c r="O12" s="77"/>
      <c r="P12" s="78"/>
      <c r="Q12" s="79"/>
      <c r="R12" s="60"/>
      <c r="S12" s="60"/>
      <c r="T12" s="82"/>
      <c r="U12" s="84"/>
      <c r="V12" s="86"/>
    </row>
    <row r="13" spans="1:22" ht="36.6" customHeight="1">
      <c r="A13" s="3" t="s">
        <v>11</v>
      </c>
      <c r="B13" s="4">
        <v>20</v>
      </c>
      <c r="C13" s="4">
        <v>62</v>
      </c>
      <c r="D13" s="4">
        <v>77</v>
      </c>
      <c r="E13" s="4">
        <v>42</v>
      </c>
      <c r="F13" s="4">
        <v>16</v>
      </c>
      <c r="G13" s="4"/>
      <c r="H13" s="4">
        <v>6</v>
      </c>
      <c r="I13" s="4">
        <v>20</v>
      </c>
      <c r="J13" s="4">
        <v>16</v>
      </c>
      <c r="K13" s="4">
        <v>7</v>
      </c>
      <c r="L13" s="4">
        <v>6</v>
      </c>
      <c r="M13" s="5"/>
      <c r="N13" s="6">
        <f t="shared" si="0"/>
        <v>272</v>
      </c>
      <c r="O13" s="77"/>
      <c r="P13" s="78"/>
      <c r="Q13" s="79"/>
      <c r="R13" s="60"/>
      <c r="S13" s="60"/>
      <c r="T13" s="82"/>
      <c r="U13" s="84"/>
      <c r="V13" s="86"/>
    </row>
    <row r="14" spans="1:22" ht="36.6" customHeight="1">
      <c r="A14" s="3" t="s">
        <v>17</v>
      </c>
      <c r="B14" s="4">
        <v>20</v>
      </c>
      <c r="C14" s="4">
        <v>62</v>
      </c>
      <c r="D14" s="4">
        <v>77</v>
      </c>
      <c r="E14" s="4">
        <v>42</v>
      </c>
      <c r="F14" s="4">
        <v>16</v>
      </c>
      <c r="G14" s="4"/>
      <c r="H14" s="4">
        <v>6</v>
      </c>
      <c r="I14" s="4">
        <v>20</v>
      </c>
      <c r="J14" s="4">
        <v>16</v>
      </c>
      <c r="K14" s="4">
        <v>7</v>
      </c>
      <c r="L14" s="4">
        <v>6</v>
      </c>
      <c r="M14" s="5"/>
      <c r="N14" s="6">
        <f t="shared" si="0"/>
        <v>272</v>
      </c>
      <c r="O14" s="77"/>
      <c r="P14" s="78"/>
      <c r="Q14" s="79"/>
      <c r="R14" s="60"/>
      <c r="S14" s="60"/>
      <c r="T14" s="82"/>
      <c r="U14" s="84"/>
      <c r="V14" s="86"/>
    </row>
    <row r="15" spans="1:22" ht="36.6" customHeight="1">
      <c r="A15" s="3" t="s">
        <v>15</v>
      </c>
      <c r="B15" s="4">
        <v>30</v>
      </c>
      <c r="C15" s="4">
        <v>94</v>
      </c>
      <c r="D15" s="4">
        <v>117</v>
      </c>
      <c r="E15" s="4">
        <v>63</v>
      </c>
      <c r="F15" s="4">
        <v>24</v>
      </c>
      <c r="G15" s="4"/>
      <c r="H15" s="4">
        <v>9</v>
      </c>
      <c r="I15" s="4">
        <v>30</v>
      </c>
      <c r="J15" s="4">
        <v>24</v>
      </c>
      <c r="K15" s="4">
        <v>11</v>
      </c>
      <c r="L15" s="4">
        <v>8</v>
      </c>
      <c r="M15" s="5"/>
      <c r="N15" s="6">
        <f t="shared" si="0"/>
        <v>410</v>
      </c>
      <c r="O15" s="77"/>
      <c r="P15" s="78"/>
      <c r="Q15" s="79"/>
      <c r="R15" s="60"/>
      <c r="S15" s="60"/>
      <c r="T15" s="82"/>
      <c r="U15" s="84"/>
      <c r="V15" s="86"/>
    </row>
    <row r="16" spans="1:22" ht="36.6" customHeight="1">
      <c r="A16" s="3" t="s">
        <v>16</v>
      </c>
      <c r="B16" s="4">
        <v>30</v>
      </c>
      <c r="C16" s="4">
        <v>94</v>
      </c>
      <c r="D16" s="4">
        <v>117</v>
      </c>
      <c r="E16" s="4">
        <v>63</v>
      </c>
      <c r="F16" s="4">
        <v>24</v>
      </c>
      <c r="G16" s="4"/>
      <c r="H16" s="4">
        <v>9</v>
      </c>
      <c r="I16" s="4">
        <v>30</v>
      </c>
      <c r="J16" s="4">
        <v>24</v>
      </c>
      <c r="K16" s="4">
        <v>11</v>
      </c>
      <c r="L16" s="4">
        <v>8</v>
      </c>
      <c r="M16" s="5"/>
      <c r="N16" s="6">
        <f t="shared" si="0"/>
        <v>410</v>
      </c>
      <c r="O16" s="77"/>
      <c r="P16" s="78"/>
      <c r="Q16" s="79"/>
      <c r="R16" s="60"/>
      <c r="S16" s="60"/>
      <c r="T16" s="82"/>
      <c r="U16" s="84"/>
      <c r="V16" s="86"/>
    </row>
    <row r="17" spans="1:22" ht="32.1" customHeight="1" thickBot="1">
      <c r="A17" s="7" t="s">
        <v>66</v>
      </c>
      <c r="B17" s="8">
        <f>SUM(B11:B16)</f>
        <v>200</v>
      </c>
      <c r="C17" s="8">
        <f>SUM(C11:C16)</f>
        <v>624</v>
      </c>
      <c r="D17" s="8">
        <f>SUM(D11:D16)</f>
        <v>774</v>
      </c>
      <c r="E17" s="8">
        <f>SUM(E11:E16)</f>
        <v>420</v>
      </c>
      <c r="F17" s="8">
        <f>SUM(F11:F16)</f>
        <v>160</v>
      </c>
      <c r="G17" s="8"/>
      <c r="H17" s="8">
        <f t="shared" ref="H17:L17" si="1">SUM(H11:H16)</f>
        <v>60</v>
      </c>
      <c r="I17" s="8">
        <f t="shared" si="1"/>
        <v>198</v>
      </c>
      <c r="J17" s="8">
        <f t="shared" si="1"/>
        <v>158</v>
      </c>
      <c r="K17" s="8">
        <f t="shared" si="1"/>
        <v>72</v>
      </c>
      <c r="L17" s="8">
        <f t="shared" si="1"/>
        <v>56</v>
      </c>
      <c r="M17" s="8"/>
      <c r="N17" s="8">
        <f>SUM(N11:N16)</f>
        <v>2722</v>
      </c>
      <c r="O17" s="73"/>
      <c r="P17" s="73"/>
      <c r="Q17" s="73"/>
      <c r="R17" s="10"/>
      <c r="S17" s="10"/>
      <c r="T17" s="10"/>
      <c r="U17" s="10"/>
      <c r="V17" s="11"/>
    </row>
    <row r="18" spans="1:22" ht="32.1" customHeight="1">
      <c r="A18" s="47" t="s">
        <v>45</v>
      </c>
      <c r="B18" s="87" t="s">
        <v>46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50" t="s">
        <v>47</v>
      </c>
      <c r="P18" s="51"/>
      <c r="Q18" s="52"/>
      <c r="R18" s="59" t="s">
        <v>4</v>
      </c>
      <c r="S18" s="62" t="s">
        <v>48</v>
      </c>
      <c r="T18" s="62" t="s">
        <v>49</v>
      </c>
      <c r="U18" s="62" t="s">
        <v>50</v>
      </c>
      <c r="V18" s="65" t="s">
        <v>51</v>
      </c>
    </row>
    <row r="19" spans="1:22" ht="32.1" customHeight="1">
      <c r="A19" s="48"/>
      <c r="B19" s="30" t="s">
        <v>52</v>
      </c>
      <c r="C19" s="31"/>
      <c r="D19" s="31"/>
      <c r="E19" s="31"/>
      <c r="F19" s="32"/>
      <c r="G19" s="25"/>
      <c r="H19" s="33" t="s">
        <v>53</v>
      </c>
      <c r="I19" s="34"/>
      <c r="J19" s="34"/>
      <c r="K19" s="34"/>
      <c r="L19" s="35"/>
      <c r="M19" s="26"/>
      <c r="N19" s="68" t="s">
        <v>54</v>
      </c>
      <c r="O19" s="53"/>
      <c r="P19" s="54"/>
      <c r="Q19" s="55"/>
      <c r="R19" s="60"/>
      <c r="S19" s="63"/>
      <c r="T19" s="63"/>
      <c r="U19" s="63"/>
      <c r="V19" s="66"/>
    </row>
    <row r="20" spans="1:22" ht="32.1" customHeight="1">
      <c r="A20" s="49"/>
      <c r="B20" s="25" t="s">
        <v>0</v>
      </c>
      <c r="C20" s="25" t="s">
        <v>1</v>
      </c>
      <c r="D20" s="25" t="s">
        <v>2</v>
      </c>
      <c r="E20" s="25" t="s">
        <v>3</v>
      </c>
      <c r="F20" s="25" t="s">
        <v>55</v>
      </c>
      <c r="G20" s="25"/>
      <c r="H20" s="27" t="s">
        <v>1</v>
      </c>
      <c r="I20" s="27" t="s">
        <v>2</v>
      </c>
      <c r="J20" s="27" t="s">
        <v>3</v>
      </c>
      <c r="K20" s="27" t="s">
        <v>55</v>
      </c>
      <c r="L20" s="27" t="s">
        <v>56</v>
      </c>
      <c r="M20" s="27"/>
      <c r="N20" s="69"/>
      <c r="O20" s="56"/>
      <c r="P20" s="57"/>
      <c r="Q20" s="58"/>
      <c r="R20" s="61"/>
      <c r="S20" s="64"/>
      <c r="T20" s="64"/>
      <c r="U20" s="64"/>
      <c r="V20" s="67"/>
    </row>
    <row r="21" spans="1:22" ht="30" customHeight="1">
      <c r="A21" s="3" t="s">
        <v>59</v>
      </c>
      <c r="B21" s="4">
        <v>40</v>
      </c>
      <c r="C21" s="4">
        <v>40</v>
      </c>
      <c r="D21" s="4">
        <v>40</v>
      </c>
      <c r="E21" s="4">
        <v>18</v>
      </c>
      <c r="F21" s="4">
        <v>6</v>
      </c>
      <c r="G21" s="4"/>
      <c r="H21" s="4"/>
      <c r="I21" s="4"/>
      <c r="J21" s="4"/>
      <c r="K21" s="4"/>
      <c r="L21" s="4"/>
      <c r="M21" s="4"/>
      <c r="N21" s="6">
        <f>SUM(B21:M21)</f>
        <v>144</v>
      </c>
      <c r="O21" s="74" t="s">
        <v>60</v>
      </c>
      <c r="P21" s="75"/>
      <c r="Q21" s="76"/>
      <c r="R21" s="80" t="s">
        <v>19</v>
      </c>
      <c r="S21" s="80" t="s">
        <v>18</v>
      </c>
      <c r="T21" s="81" t="s">
        <v>6</v>
      </c>
      <c r="U21" s="83">
        <v>46188</v>
      </c>
      <c r="V21" s="85"/>
    </row>
    <row r="22" spans="1:22" ht="30" customHeight="1">
      <c r="A22" s="3" t="s">
        <v>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/>
      <c r="H22" s="4"/>
      <c r="I22" s="4"/>
      <c r="J22" s="4"/>
      <c r="K22" s="4"/>
      <c r="L22" s="4"/>
      <c r="M22" s="4"/>
      <c r="N22" s="6">
        <f t="shared" ref="N22:N26" si="2">SUM(B22:M22)</f>
        <v>0</v>
      </c>
      <c r="O22" s="77"/>
      <c r="P22" s="78"/>
      <c r="Q22" s="79"/>
      <c r="R22" s="60"/>
      <c r="S22" s="60"/>
      <c r="T22" s="82"/>
      <c r="U22" s="84"/>
      <c r="V22" s="86"/>
    </row>
    <row r="23" spans="1:22" ht="30" customHeight="1">
      <c r="A23" s="3" t="s">
        <v>10</v>
      </c>
      <c r="B23" s="4">
        <v>40</v>
      </c>
      <c r="C23" s="4">
        <v>40</v>
      </c>
      <c r="D23" s="4">
        <v>40</v>
      </c>
      <c r="E23" s="4">
        <v>18</v>
      </c>
      <c r="F23" s="4">
        <v>6</v>
      </c>
      <c r="G23" s="4"/>
      <c r="H23" s="4"/>
      <c r="I23" s="4"/>
      <c r="J23" s="4"/>
      <c r="K23" s="4"/>
      <c r="L23" s="4"/>
      <c r="M23" s="4"/>
      <c r="N23" s="6">
        <f t="shared" si="2"/>
        <v>144</v>
      </c>
      <c r="O23" s="77"/>
      <c r="P23" s="78"/>
      <c r="Q23" s="79"/>
      <c r="R23" s="60"/>
      <c r="S23" s="60"/>
      <c r="T23" s="82"/>
      <c r="U23" s="84"/>
      <c r="V23" s="86"/>
    </row>
    <row r="24" spans="1:22" ht="30" customHeight="1">
      <c r="A24" s="3" t="s">
        <v>17</v>
      </c>
      <c r="B24" s="4">
        <v>40</v>
      </c>
      <c r="C24" s="4">
        <v>40</v>
      </c>
      <c r="D24" s="4">
        <v>40</v>
      </c>
      <c r="E24" s="4">
        <v>18</v>
      </c>
      <c r="F24" s="4">
        <v>6</v>
      </c>
      <c r="G24" s="4"/>
      <c r="H24" s="4"/>
      <c r="I24" s="4"/>
      <c r="J24" s="4"/>
      <c r="K24" s="4"/>
      <c r="L24" s="4"/>
      <c r="M24" s="4"/>
      <c r="N24" s="6">
        <f t="shared" si="2"/>
        <v>144</v>
      </c>
      <c r="O24" s="77"/>
      <c r="P24" s="78"/>
      <c r="Q24" s="79"/>
      <c r="R24" s="60"/>
      <c r="S24" s="60"/>
      <c r="T24" s="82"/>
      <c r="U24" s="84"/>
      <c r="V24" s="86"/>
    </row>
    <row r="25" spans="1:22" ht="30" customHeight="1">
      <c r="A25" s="3" t="s">
        <v>13</v>
      </c>
      <c r="B25" s="4">
        <v>40</v>
      </c>
      <c r="C25" s="4">
        <v>40</v>
      </c>
      <c r="D25" s="4">
        <v>40</v>
      </c>
      <c r="E25" s="4">
        <v>18</v>
      </c>
      <c r="F25" s="4">
        <v>6</v>
      </c>
      <c r="G25" s="4"/>
      <c r="H25" s="4"/>
      <c r="I25" s="4"/>
      <c r="J25" s="4"/>
      <c r="K25" s="4"/>
      <c r="L25" s="4"/>
      <c r="M25" s="4"/>
      <c r="N25" s="6">
        <f t="shared" si="2"/>
        <v>144</v>
      </c>
      <c r="O25" s="77"/>
      <c r="P25" s="78"/>
      <c r="Q25" s="79"/>
      <c r="R25" s="60"/>
      <c r="S25" s="60"/>
      <c r="T25" s="82"/>
      <c r="U25" s="84"/>
      <c r="V25" s="86"/>
    </row>
    <row r="26" spans="1:22" ht="30" customHeight="1">
      <c r="A26" s="3" t="s">
        <v>16</v>
      </c>
      <c r="B26" s="4">
        <v>40</v>
      </c>
      <c r="C26" s="4">
        <v>40</v>
      </c>
      <c r="D26" s="4">
        <v>40</v>
      </c>
      <c r="E26" s="4">
        <v>18</v>
      </c>
      <c r="F26" s="4">
        <v>6</v>
      </c>
      <c r="G26" s="4"/>
      <c r="H26" s="4"/>
      <c r="I26" s="4"/>
      <c r="J26" s="4"/>
      <c r="K26" s="4"/>
      <c r="L26" s="4"/>
      <c r="M26" s="4"/>
      <c r="N26" s="6">
        <f t="shared" si="2"/>
        <v>144</v>
      </c>
      <c r="O26" s="77"/>
      <c r="P26" s="78"/>
      <c r="Q26" s="79"/>
      <c r="R26" s="60"/>
      <c r="S26" s="60"/>
      <c r="T26" s="82"/>
      <c r="U26" s="84"/>
      <c r="V26" s="86"/>
    </row>
    <row r="27" spans="1:22" ht="32.1" customHeight="1" thickBot="1">
      <c r="A27" s="9" t="s">
        <v>66</v>
      </c>
      <c r="B27" s="8">
        <f>SUM(B21:B26)</f>
        <v>200</v>
      </c>
      <c r="C27" s="8">
        <f>SUM(C21:C26)</f>
        <v>200</v>
      </c>
      <c r="D27" s="8">
        <f>SUM(D21:D26)</f>
        <v>200</v>
      </c>
      <c r="E27" s="8">
        <f>SUM(E21:E26)</f>
        <v>90</v>
      </c>
      <c r="F27" s="8">
        <f>SUM(F21:F26)</f>
        <v>30</v>
      </c>
      <c r="G27" s="8"/>
      <c r="H27" s="8">
        <f>SUM(H21:H26)</f>
        <v>0</v>
      </c>
      <c r="I27" s="8">
        <f>SUM(I21:I26)</f>
        <v>0</v>
      </c>
      <c r="J27" s="8">
        <f>SUM(J21:J26)</f>
        <v>0</v>
      </c>
      <c r="K27" s="8">
        <f>SUM(K21:K26)</f>
        <v>0</v>
      </c>
      <c r="L27" s="8">
        <f>SUM(L21:L26)</f>
        <v>0</v>
      </c>
      <c r="M27" s="8"/>
      <c r="N27" s="8">
        <f>SUM(N21:N26)</f>
        <v>720</v>
      </c>
      <c r="O27" s="73"/>
      <c r="P27" s="73"/>
      <c r="Q27" s="73"/>
      <c r="R27" s="10"/>
      <c r="S27" s="10"/>
      <c r="T27" s="10"/>
      <c r="U27" s="10"/>
      <c r="V27" s="11"/>
    </row>
    <row r="28" spans="1:22" ht="32.1" customHeight="1">
      <c r="A28" s="47" t="s">
        <v>45</v>
      </c>
      <c r="B28" s="87" t="s">
        <v>46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50" t="s">
        <v>47</v>
      </c>
      <c r="P28" s="51"/>
      <c r="Q28" s="52"/>
      <c r="R28" s="59" t="s">
        <v>4</v>
      </c>
      <c r="S28" s="62" t="s">
        <v>48</v>
      </c>
      <c r="T28" s="62" t="s">
        <v>49</v>
      </c>
      <c r="U28" s="62" t="s">
        <v>50</v>
      </c>
      <c r="V28" s="65" t="s">
        <v>51</v>
      </c>
    </row>
    <row r="29" spans="1:22" ht="32.1" customHeight="1">
      <c r="A29" s="48"/>
      <c r="B29" s="30" t="s">
        <v>52</v>
      </c>
      <c r="C29" s="31"/>
      <c r="D29" s="31"/>
      <c r="E29" s="31"/>
      <c r="F29" s="32"/>
      <c r="G29" s="25"/>
      <c r="H29" s="33" t="s">
        <v>53</v>
      </c>
      <c r="I29" s="34"/>
      <c r="J29" s="34"/>
      <c r="K29" s="34"/>
      <c r="L29" s="35"/>
      <c r="M29" s="26"/>
      <c r="N29" s="68" t="s">
        <v>54</v>
      </c>
      <c r="O29" s="53"/>
      <c r="P29" s="54"/>
      <c r="Q29" s="55"/>
      <c r="R29" s="60"/>
      <c r="S29" s="63"/>
      <c r="T29" s="63"/>
      <c r="U29" s="63"/>
      <c r="V29" s="66"/>
    </row>
    <row r="30" spans="1:22" ht="32.1" customHeight="1">
      <c r="A30" s="49"/>
      <c r="B30" s="25" t="s">
        <v>0</v>
      </c>
      <c r="C30" s="25" t="s">
        <v>1</v>
      </c>
      <c r="D30" s="25" t="s">
        <v>2</v>
      </c>
      <c r="E30" s="25" t="s">
        <v>3</v>
      </c>
      <c r="F30" s="25" t="s">
        <v>55</v>
      </c>
      <c r="G30" s="25"/>
      <c r="H30" s="27" t="s">
        <v>1</v>
      </c>
      <c r="I30" s="27" t="s">
        <v>2</v>
      </c>
      <c r="J30" s="27" t="s">
        <v>3</v>
      </c>
      <c r="K30" s="27" t="s">
        <v>55</v>
      </c>
      <c r="L30" s="27" t="s">
        <v>56</v>
      </c>
      <c r="M30" s="27"/>
      <c r="N30" s="69"/>
      <c r="O30" s="56"/>
      <c r="P30" s="57"/>
      <c r="Q30" s="58"/>
      <c r="R30" s="61"/>
      <c r="S30" s="64"/>
      <c r="T30" s="64"/>
      <c r="U30" s="64"/>
      <c r="V30" s="67"/>
    </row>
    <row r="31" spans="1:22" ht="30" customHeight="1">
      <c r="A31" s="3" t="s">
        <v>59</v>
      </c>
      <c r="B31" s="4">
        <v>30</v>
      </c>
      <c r="C31" s="4">
        <v>66</v>
      </c>
      <c r="D31" s="4">
        <v>70</v>
      </c>
      <c r="E31" s="4">
        <v>36</v>
      </c>
      <c r="F31" s="4">
        <v>0</v>
      </c>
      <c r="G31" s="4"/>
      <c r="H31" s="4"/>
      <c r="I31" s="4"/>
      <c r="J31" s="4"/>
      <c r="K31" s="4"/>
      <c r="L31" s="4"/>
      <c r="M31" s="4"/>
      <c r="N31" s="6">
        <f>SUM(B31:M31)</f>
        <v>202</v>
      </c>
      <c r="O31" s="74" t="s">
        <v>60</v>
      </c>
      <c r="P31" s="75"/>
      <c r="Q31" s="76"/>
      <c r="R31" s="80" t="s">
        <v>20</v>
      </c>
      <c r="S31" s="80" t="s">
        <v>21</v>
      </c>
      <c r="T31" s="81" t="s">
        <v>6</v>
      </c>
      <c r="U31" s="83">
        <v>46188</v>
      </c>
      <c r="V31" s="85"/>
    </row>
    <row r="32" spans="1:22" ht="30" customHeight="1">
      <c r="A32" s="3" t="s">
        <v>8</v>
      </c>
      <c r="B32" s="4">
        <v>28</v>
      </c>
      <c r="C32" s="4">
        <v>56</v>
      </c>
      <c r="D32" s="4">
        <v>55</v>
      </c>
      <c r="E32" s="4">
        <v>28</v>
      </c>
      <c r="F32" s="4">
        <v>0</v>
      </c>
      <c r="G32" s="4"/>
      <c r="H32" s="4"/>
      <c r="I32" s="4"/>
      <c r="J32" s="4"/>
      <c r="K32" s="4"/>
      <c r="L32" s="4"/>
      <c r="M32" s="4"/>
      <c r="N32" s="6">
        <f t="shared" ref="N32:N36" si="3">SUM(B32:M32)</f>
        <v>167</v>
      </c>
      <c r="O32" s="77"/>
      <c r="P32" s="78"/>
      <c r="Q32" s="79"/>
      <c r="R32" s="60"/>
      <c r="S32" s="60"/>
      <c r="T32" s="82"/>
      <c r="U32" s="84"/>
      <c r="V32" s="86"/>
    </row>
    <row r="33" spans="1:22" ht="30" customHeight="1">
      <c r="A33" s="3" t="s">
        <v>10</v>
      </c>
      <c r="B33" s="4">
        <v>28</v>
      </c>
      <c r="C33" s="4">
        <v>54</v>
      </c>
      <c r="D33" s="4">
        <v>53</v>
      </c>
      <c r="E33" s="4">
        <v>28</v>
      </c>
      <c r="F33" s="4">
        <v>0</v>
      </c>
      <c r="G33" s="4"/>
      <c r="H33" s="4"/>
      <c r="I33" s="4"/>
      <c r="J33" s="4"/>
      <c r="K33" s="4"/>
      <c r="L33" s="4"/>
      <c r="M33" s="4"/>
      <c r="N33" s="6">
        <f t="shared" si="3"/>
        <v>163</v>
      </c>
      <c r="O33" s="77"/>
      <c r="P33" s="78"/>
      <c r="Q33" s="79"/>
      <c r="R33" s="60"/>
      <c r="S33" s="60"/>
      <c r="T33" s="82"/>
      <c r="U33" s="84"/>
      <c r="V33" s="86"/>
    </row>
    <row r="34" spans="1:22" ht="30" customHeight="1">
      <c r="A34" s="3" t="s">
        <v>17</v>
      </c>
      <c r="B34" s="4">
        <v>7</v>
      </c>
      <c r="C34" s="4">
        <v>13</v>
      </c>
      <c r="D34" s="4">
        <v>13</v>
      </c>
      <c r="E34" s="4">
        <v>7</v>
      </c>
      <c r="F34" s="4">
        <v>0</v>
      </c>
      <c r="G34" s="4"/>
      <c r="H34" s="4"/>
      <c r="I34" s="4"/>
      <c r="J34" s="4"/>
      <c r="K34" s="4"/>
      <c r="L34" s="4"/>
      <c r="M34" s="4"/>
      <c r="N34" s="6">
        <f t="shared" si="3"/>
        <v>40</v>
      </c>
      <c r="O34" s="77"/>
      <c r="P34" s="78"/>
      <c r="Q34" s="79"/>
      <c r="R34" s="60"/>
      <c r="S34" s="60"/>
      <c r="T34" s="82"/>
      <c r="U34" s="84"/>
      <c r="V34" s="86"/>
    </row>
    <row r="35" spans="1:22" ht="30" customHeight="1">
      <c r="A35" s="3" t="s">
        <v>13</v>
      </c>
      <c r="B35" s="4">
        <v>23</v>
      </c>
      <c r="C35" s="4">
        <v>46</v>
      </c>
      <c r="D35" s="4">
        <v>45</v>
      </c>
      <c r="E35" s="4">
        <v>23</v>
      </c>
      <c r="F35" s="4">
        <v>0</v>
      </c>
      <c r="G35" s="4"/>
      <c r="H35" s="4"/>
      <c r="I35" s="4"/>
      <c r="J35" s="4"/>
      <c r="K35" s="4"/>
      <c r="L35" s="4"/>
      <c r="M35" s="4"/>
      <c r="N35" s="6">
        <f t="shared" si="3"/>
        <v>137</v>
      </c>
      <c r="O35" s="77"/>
      <c r="P35" s="78"/>
      <c r="Q35" s="79"/>
      <c r="R35" s="60"/>
      <c r="S35" s="60"/>
      <c r="T35" s="82"/>
      <c r="U35" s="84"/>
      <c r="V35" s="86"/>
    </row>
    <row r="36" spans="1:22" ht="30" customHeight="1">
      <c r="A36" s="3" t="s">
        <v>16</v>
      </c>
      <c r="B36" s="4">
        <v>23</v>
      </c>
      <c r="C36" s="4">
        <v>51</v>
      </c>
      <c r="D36" s="4">
        <v>55</v>
      </c>
      <c r="E36" s="4">
        <v>28</v>
      </c>
      <c r="F36" s="4">
        <v>0</v>
      </c>
      <c r="G36" s="4"/>
      <c r="H36" s="4"/>
      <c r="I36" s="4"/>
      <c r="J36" s="4"/>
      <c r="K36" s="4"/>
      <c r="L36" s="4"/>
      <c r="M36" s="4"/>
      <c r="N36" s="6">
        <f t="shared" si="3"/>
        <v>157</v>
      </c>
      <c r="O36" s="77"/>
      <c r="P36" s="78"/>
      <c r="Q36" s="79"/>
      <c r="R36" s="60"/>
      <c r="S36" s="60"/>
      <c r="T36" s="82"/>
      <c r="U36" s="84"/>
      <c r="V36" s="86"/>
    </row>
    <row r="37" spans="1:22" ht="32.1" customHeight="1" thickBot="1">
      <c r="A37" s="9" t="s">
        <v>66</v>
      </c>
      <c r="B37" s="8">
        <f>SUM(B31:B36)</f>
        <v>139</v>
      </c>
      <c r="C37" s="8">
        <f>SUM(C31:C36)</f>
        <v>286</v>
      </c>
      <c r="D37" s="8">
        <f>SUM(D31:D36)</f>
        <v>291</v>
      </c>
      <c r="E37" s="8">
        <f>SUM(E31:E36)</f>
        <v>150</v>
      </c>
      <c r="F37" s="8">
        <f>SUM(F31:F36)</f>
        <v>0</v>
      </c>
      <c r="G37" s="8"/>
      <c r="H37" s="8">
        <f>SUM(H31:H36)</f>
        <v>0</v>
      </c>
      <c r="I37" s="8">
        <f>SUM(I31:I36)</f>
        <v>0</v>
      </c>
      <c r="J37" s="8">
        <f>SUM(J31:J36)</f>
        <v>0</v>
      </c>
      <c r="K37" s="8">
        <f>SUM(K31:K36)</f>
        <v>0</v>
      </c>
      <c r="L37" s="8">
        <f>SUM(L31:L36)</f>
        <v>0</v>
      </c>
      <c r="M37" s="8"/>
      <c r="N37" s="8">
        <f>SUM(N31:N36)</f>
        <v>866</v>
      </c>
      <c r="O37" s="73"/>
      <c r="P37" s="73"/>
      <c r="Q37" s="73"/>
      <c r="R37" s="10"/>
      <c r="S37" s="10"/>
      <c r="T37" s="10"/>
      <c r="U37" s="10"/>
      <c r="V37" s="11"/>
    </row>
    <row r="38" spans="1:22" ht="32.1" customHeight="1">
      <c r="A38" s="47" t="s">
        <v>45</v>
      </c>
      <c r="B38" s="87" t="s">
        <v>46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50" t="s">
        <v>47</v>
      </c>
      <c r="P38" s="51"/>
      <c r="Q38" s="52"/>
      <c r="R38" s="59" t="s">
        <v>4</v>
      </c>
      <c r="S38" s="62" t="s">
        <v>48</v>
      </c>
      <c r="T38" s="62" t="s">
        <v>49</v>
      </c>
      <c r="U38" s="62" t="s">
        <v>50</v>
      </c>
      <c r="V38" s="65" t="s">
        <v>51</v>
      </c>
    </row>
    <row r="39" spans="1:22" ht="32.1" customHeight="1">
      <c r="A39" s="48"/>
      <c r="B39" s="30" t="s">
        <v>52</v>
      </c>
      <c r="C39" s="31"/>
      <c r="D39" s="31"/>
      <c r="E39" s="31"/>
      <c r="F39" s="32"/>
      <c r="G39" s="25"/>
      <c r="H39" s="33" t="s">
        <v>53</v>
      </c>
      <c r="I39" s="34"/>
      <c r="J39" s="34"/>
      <c r="K39" s="34"/>
      <c r="L39" s="35"/>
      <c r="M39" s="26"/>
      <c r="N39" s="68" t="s">
        <v>54</v>
      </c>
      <c r="O39" s="53"/>
      <c r="P39" s="54"/>
      <c r="Q39" s="55"/>
      <c r="R39" s="60"/>
      <c r="S39" s="63"/>
      <c r="T39" s="63"/>
      <c r="U39" s="63"/>
      <c r="V39" s="66"/>
    </row>
    <row r="40" spans="1:22" ht="32.1" customHeight="1">
      <c r="A40" s="49"/>
      <c r="B40" s="25" t="s">
        <v>0</v>
      </c>
      <c r="C40" s="25" t="s">
        <v>1</v>
      </c>
      <c r="D40" s="25" t="s">
        <v>2</v>
      </c>
      <c r="E40" s="25" t="s">
        <v>3</v>
      </c>
      <c r="F40" s="25" t="s">
        <v>55</v>
      </c>
      <c r="G40" s="25"/>
      <c r="H40" s="27" t="s">
        <v>1</v>
      </c>
      <c r="I40" s="27" t="s">
        <v>2</v>
      </c>
      <c r="J40" s="27" t="s">
        <v>3</v>
      </c>
      <c r="K40" s="27" t="s">
        <v>55</v>
      </c>
      <c r="L40" s="27" t="s">
        <v>56</v>
      </c>
      <c r="M40" s="27"/>
      <c r="N40" s="69"/>
      <c r="O40" s="56"/>
      <c r="P40" s="57"/>
      <c r="Q40" s="58"/>
      <c r="R40" s="61"/>
      <c r="S40" s="64"/>
      <c r="T40" s="64"/>
      <c r="U40" s="64"/>
      <c r="V40" s="67"/>
    </row>
    <row r="41" spans="1:22" ht="30" customHeight="1">
      <c r="A41" s="3" t="s">
        <v>59</v>
      </c>
      <c r="B41" s="4">
        <v>18</v>
      </c>
      <c r="C41" s="4">
        <v>30</v>
      </c>
      <c r="D41" s="4">
        <v>30</v>
      </c>
      <c r="E41" s="4">
        <v>30</v>
      </c>
      <c r="F41" s="4">
        <v>12</v>
      </c>
      <c r="G41" s="4"/>
      <c r="H41" s="4"/>
      <c r="I41" s="4"/>
      <c r="J41" s="4"/>
      <c r="K41" s="4"/>
      <c r="L41" s="4"/>
      <c r="M41" s="4"/>
      <c r="N41" s="6">
        <f>SUM(B41:M41)</f>
        <v>120</v>
      </c>
      <c r="O41" s="74" t="s">
        <v>60</v>
      </c>
      <c r="P41" s="75"/>
      <c r="Q41" s="76"/>
      <c r="R41" s="80" t="s">
        <v>20</v>
      </c>
      <c r="S41" s="80" t="s">
        <v>22</v>
      </c>
      <c r="T41" s="81" t="s">
        <v>6</v>
      </c>
      <c r="U41" s="83">
        <v>46188</v>
      </c>
      <c r="V41" s="85"/>
    </row>
    <row r="42" spans="1:22" ht="30" customHeight="1">
      <c r="A42" s="3" t="s">
        <v>8</v>
      </c>
      <c r="B42" s="4">
        <v>26</v>
      </c>
      <c r="C42" s="4">
        <v>34</v>
      </c>
      <c r="D42" s="4">
        <v>48</v>
      </c>
      <c r="E42" s="4">
        <v>34</v>
      </c>
      <c r="F42" s="4">
        <v>20</v>
      </c>
      <c r="G42" s="4"/>
      <c r="H42" s="4"/>
      <c r="I42" s="4"/>
      <c r="J42" s="4"/>
      <c r="K42" s="4"/>
      <c r="L42" s="4"/>
      <c r="M42" s="4"/>
      <c r="N42" s="6">
        <f t="shared" ref="N42:N46" si="4">SUM(B42:M42)</f>
        <v>162</v>
      </c>
      <c r="O42" s="77"/>
      <c r="P42" s="78"/>
      <c r="Q42" s="79"/>
      <c r="R42" s="60"/>
      <c r="S42" s="60"/>
      <c r="T42" s="82"/>
      <c r="U42" s="84"/>
      <c r="V42" s="86"/>
    </row>
    <row r="43" spans="1:22" ht="30" customHeight="1">
      <c r="A43" s="3" t="s">
        <v>10</v>
      </c>
      <c r="B43" s="4">
        <v>14</v>
      </c>
      <c r="C43" s="4">
        <v>22</v>
      </c>
      <c r="D43" s="4">
        <v>30</v>
      </c>
      <c r="E43" s="4">
        <v>22</v>
      </c>
      <c r="F43" s="4">
        <v>8</v>
      </c>
      <c r="G43" s="4"/>
      <c r="H43" s="4"/>
      <c r="I43" s="4"/>
      <c r="J43" s="4"/>
      <c r="K43" s="4"/>
      <c r="L43" s="4"/>
      <c r="M43" s="4"/>
      <c r="N43" s="6">
        <f t="shared" si="4"/>
        <v>96</v>
      </c>
      <c r="O43" s="77"/>
      <c r="P43" s="78"/>
      <c r="Q43" s="79"/>
      <c r="R43" s="60"/>
      <c r="S43" s="60"/>
      <c r="T43" s="82"/>
      <c r="U43" s="84"/>
      <c r="V43" s="86"/>
    </row>
    <row r="44" spans="1:22" ht="30" customHeight="1">
      <c r="A44" s="3" t="s">
        <v>17</v>
      </c>
      <c r="B44" s="4">
        <v>8</v>
      </c>
      <c r="C44" s="4">
        <v>16</v>
      </c>
      <c r="D44" s="4">
        <v>30</v>
      </c>
      <c r="E44" s="4">
        <v>16</v>
      </c>
      <c r="F44" s="4">
        <v>8</v>
      </c>
      <c r="G44" s="4"/>
      <c r="H44" s="4"/>
      <c r="I44" s="4"/>
      <c r="J44" s="4"/>
      <c r="K44" s="4"/>
      <c r="L44" s="4"/>
      <c r="M44" s="4"/>
      <c r="N44" s="6">
        <f t="shared" si="4"/>
        <v>78</v>
      </c>
      <c r="O44" s="77"/>
      <c r="P44" s="78"/>
      <c r="Q44" s="79"/>
      <c r="R44" s="60"/>
      <c r="S44" s="60"/>
      <c r="T44" s="82"/>
      <c r="U44" s="84"/>
      <c r="V44" s="86"/>
    </row>
    <row r="45" spans="1:22" ht="30" customHeight="1">
      <c r="A45" s="3" t="s">
        <v>13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/>
      <c r="H45" s="4"/>
      <c r="I45" s="4"/>
      <c r="J45" s="4"/>
      <c r="K45" s="4"/>
      <c r="L45" s="4"/>
      <c r="M45" s="4"/>
      <c r="N45" s="6">
        <f t="shared" si="4"/>
        <v>0</v>
      </c>
      <c r="O45" s="77"/>
      <c r="P45" s="78"/>
      <c r="Q45" s="79"/>
      <c r="R45" s="60"/>
      <c r="S45" s="60"/>
      <c r="T45" s="82"/>
      <c r="U45" s="84"/>
      <c r="V45" s="86"/>
    </row>
    <row r="46" spans="1:22" ht="30" customHeight="1">
      <c r="A46" s="3" t="s">
        <v>16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/>
      <c r="H46" s="4"/>
      <c r="I46" s="4"/>
      <c r="J46" s="4"/>
      <c r="K46" s="4"/>
      <c r="L46" s="4"/>
      <c r="M46" s="4"/>
      <c r="N46" s="6">
        <f t="shared" si="4"/>
        <v>0</v>
      </c>
      <c r="O46" s="77"/>
      <c r="P46" s="78"/>
      <c r="Q46" s="79"/>
      <c r="R46" s="60"/>
      <c r="S46" s="60"/>
      <c r="T46" s="82"/>
      <c r="U46" s="84"/>
      <c r="V46" s="86"/>
    </row>
    <row r="47" spans="1:22" ht="32.1" customHeight="1" thickBot="1">
      <c r="A47" s="9" t="s">
        <v>67</v>
      </c>
      <c r="B47" s="8">
        <f>SUM(B41:B46)</f>
        <v>66</v>
      </c>
      <c r="C47" s="8">
        <f>SUM(C41:C46)</f>
        <v>102</v>
      </c>
      <c r="D47" s="8">
        <f>SUM(D41:D46)</f>
        <v>138</v>
      </c>
      <c r="E47" s="8">
        <f>SUM(E41:E46)</f>
        <v>102</v>
      </c>
      <c r="F47" s="8">
        <f>SUM(F41:F46)</f>
        <v>48</v>
      </c>
      <c r="G47" s="8"/>
      <c r="H47" s="8">
        <f>SUM(H41:H46)</f>
        <v>0</v>
      </c>
      <c r="I47" s="8">
        <f>SUM(I41:I46)</f>
        <v>0</v>
      </c>
      <c r="J47" s="8">
        <f>SUM(J41:J46)</f>
        <v>0</v>
      </c>
      <c r="K47" s="8">
        <f>SUM(K41:K46)</f>
        <v>0</v>
      </c>
      <c r="L47" s="8">
        <f>SUM(L41:L46)</f>
        <v>0</v>
      </c>
      <c r="M47" s="8"/>
      <c r="N47" s="8">
        <f>SUM(N41:N46)</f>
        <v>456</v>
      </c>
      <c r="O47" s="88"/>
      <c r="P47" s="89"/>
      <c r="Q47" s="90"/>
      <c r="R47" s="10"/>
      <c r="S47" s="10"/>
      <c r="T47" s="10"/>
      <c r="U47" s="10"/>
      <c r="V47" s="11"/>
    </row>
    <row r="48" spans="1:22" ht="32.1" customHeight="1">
      <c r="A48" s="47" t="s">
        <v>45</v>
      </c>
      <c r="B48" s="87" t="s">
        <v>46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50" t="s">
        <v>47</v>
      </c>
      <c r="P48" s="51"/>
      <c r="Q48" s="52"/>
      <c r="R48" s="59" t="s">
        <v>4</v>
      </c>
      <c r="S48" s="62" t="s">
        <v>48</v>
      </c>
      <c r="T48" s="62" t="s">
        <v>49</v>
      </c>
      <c r="U48" s="62" t="s">
        <v>50</v>
      </c>
      <c r="V48" s="65" t="s">
        <v>51</v>
      </c>
    </row>
    <row r="49" spans="1:22" ht="32.1" customHeight="1">
      <c r="A49" s="48"/>
      <c r="B49" s="30" t="s">
        <v>52</v>
      </c>
      <c r="C49" s="31"/>
      <c r="D49" s="31"/>
      <c r="E49" s="31"/>
      <c r="F49" s="32"/>
      <c r="G49" s="25"/>
      <c r="H49" s="33" t="s">
        <v>53</v>
      </c>
      <c r="I49" s="34"/>
      <c r="J49" s="34"/>
      <c r="K49" s="34"/>
      <c r="L49" s="35"/>
      <c r="M49" s="26"/>
      <c r="N49" s="68" t="s">
        <v>54</v>
      </c>
      <c r="O49" s="53"/>
      <c r="P49" s="54"/>
      <c r="Q49" s="55"/>
      <c r="R49" s="60"/>
      <c r="S49" s="63"/>
      <c r="T49" s="63"/>
      <c r="U49" s="63"/>
      <c r="V49" s="66"/>
    </row>
    <row r="50" spans="1:22" ht="32.1" customHeight="1">
      <c r="A50" s="49"/>
      <c r="B50" s="25" t="s">
        <v>0</v>
      </c>
      <c r="C50" s="25" t="s">
        <v>1</v>
      </c>
      <c r="D50" s="25" t="s">
        <v>2</v>
      </c>
      <c r="E50" s="25" t="s">
        <v>3</v>
      </c>
      <c r="F50" s="25" t="s">
        <v>55</v>
      </c>
      <c r="G50" s="25"/>
      <c r="H50" s="27" t="s">
        <v>1</v>
      </c>
      <c r="I50" s="27" t="s">
        <v>2</v>
      </c>
      <c r="J50" s="27" t="s">
        <v>3</v>
      </c>
      <c r="K50" s="27" t="s">
        <v>55</v>
      </c>
      <c r="L50" s="27" t="s">
        <v>56</v>
      </c>
      <c r="M50" s="27"/>
      <c r="N50" s="69"/>
      <c r="O50" s="56"/>
      <c r="P50" s="57"/>
      <c r="Q50" s="58"/>
      <c r="R50" s="61"/>
      <c r="S50" s="64"/>
      <c r="T50" s="64"/>
      <c r="U50" s="64"/>
      <c r="V50" s="67"/>
    </row>
    <row r="51" spans="1:22" ht="20.399999999999999" customHeight="1">
      <c r="A51" s="3" t="s">
        <v>61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/>
      <c r="H51" s="4"/>
      <c r="I51" s="4"/>
      <c r="J51" s="4"/>
      <c r="K51" s="4"/>
      <c r="L51" s="4"/>
      <c r="M51" s="4"/>
      <c r="N51" s="6">
        <f>SUM(B51:M51)</f>
        <v>0</v>
      </c>
      <c r="O51" s="74" t="s">
        <v>60</v>
      </c>
      <c r="P51" s="75"/>
      <c r="Q51" s="76"/>
      <c r="R51" s="80" t="s">
        <v>24</v>
      </c>
      <c r="S51" s="80" t="s">
        <v>23</v>
      </c>
      <c r="T51" s="81" t="s">
        <v>6</v>
      </c>
      <c r="U51" s="83">
        <v>46188</v>
      </c>
      <c r="V51" s="85"/>
    </row>
    <row r="52" spans="1:22" ht="20.399999999999999" customHeight="1">
      <c r="A52" s="3" t="s">
        <v>8</v>
      </c>
      <c r="B52" s="4">
        <v>5</v>
      </c>
      <c r="C52" s="4">
        <v>10</v>
      </c>
      <c r="D52" s="4">
        <v>10</v>
      </c>
      <c r="E52" s="4">
        <v>5</v>
      </c>
      <c r="F52" s="4">
        <v>0</v>
      </c>
      <c r="G52" s="4"/>
      <c r="H52" s="4"/>
      <c r="I52" s="4"/>
      <c r="J52" s="4"/>
      <c r="K52" s="4"/>
      <c r="L52" s="4"/>
      <c r="M52" s="4"/>
      <c r="N52" s="6">
        <f t="shared" ref="N52:N56" si="5">SUM(B52:M52)</f>
        <v>30</v>
      </c>
      <c r="O52" s="77"/>
      <c r="P52" s="78"/>
      <c r="Q52" s="79"/>
      <c r="R52" s="60"/>
      <c r="S52" s="60"/>
      <c r="T52" s="82"/>
      <c r="U52" s="84"/>
      <c r="V52" s="86"/>
    </row>
    <row r="53" spans="1:22" ht="20.399999999999999" customHeight="1">
      <c r="A53" s="3" t="s">
        <v>10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/>
      <c r="H53" s="4"/>
      <c r="I53" s="4"/>
      <c r="J53" s="4"/>
      <c r="K53" s="4"/>
      <c r="L53" s="4"/>
      <c r="M53" s="4"/>
      <c r="N53" s="6">
        <f t="shared" si="5"/>
        <v>0</v>
      </c>
      <c r="O53" s="77"/>
      <c r="P53" s="78"/>
      <c r="Q53" s="79"/>
      <c r="R53" s="60"/>
      <c r="S53" s="60"/>
      <c r="T53" s="82"/>
      <c r="U53" s="84"/>
      <c r="V53" s="86"/>
    </row>
    <row r="54" spans="1:22" ht="20.399999999999999" customHeight="1">
      <c r="A54" s="3" t="s">
        <v>17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/>
      <c r="H54" s="4"/>
      <c r="I54" s="4"/>
      <c r="J54" s="4"/>
      <c r="K54" s="4"/>
      <c r="L54" s="4"/>
      <c r="M54" s="4"/>
      <c r="N54" s="6">
        <f t="shared" si="5"/>
        <v>0</v>
      </c>
      <c r="O54" s="77"/>
      <c r="P54" s="78"/>
      <c r="Q54" s="79"/>
      <c r="R54" s="60"/>
      <c r="S54" s="60"/>
      <c r="T54" s="82"/>
      <c r="U54" s="84"/>
      <c r="V54" s="86"/>
    </row>
    <row r="55" spans="1:22" ht="20.399999999999999" customHeight="1">
      <c r="A55" s="3" t="s">
        <v>13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/>
      <c r="H55" s="4"/>
      <c r="I55" s="4"/>
      <c r="J55" s="4"/>
      <c r="K55" s="4"/>
      <c r="L55" s="4"/>
      <c r="M55" s="4"/>
      <c r="N55" s="6">
        <f t="shared" si="5"/>
        <v>0</v>
      </c>
      <c r="O55" s="77"/>
      <c r="P55" s="78"/>
      <c r="Q55" s="79"/>
      <c r="R55" s="60"/>
      <c r="S55" s="60"/>
      <c r="T55" s="82"/>
      <c r="U55" s="84"/>
      <c r="V55" s="86"/>
    </row>
    <row r="56" spans="1:22" ht="20.399999999999999" customHeight="1">
      <c r="A56" s="3" t="s">
        <v>16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/>
      <c r="H56" s="4"/>
      <c r="I56" s="4"/>
      <c r="J56" s="4"/>
      <c r="K56" s="4"/>
      <c r="L56" s="4"/>
      <c r="M56" s="4"/>
      <c r="N56" s="6">
        <f t="shared" si="5"/>
        <v>0</v>
      </c>
      <c r="O56" s="77"/>
      <c r="P56" s="78"/>
      <c r="Q56" s="79"/>
      <c r="R56" s="60"/>
      <c r="S56" s="60"/>
      <c r="T56" s="82"/>
      <c r="U56" s="84"/>
      <c r="V56" s="86"/>
    </row>
    <row r="57" spans="1:22" ht="32.1" customHeight="1" thickBot="1">
      <c r="A57" s="9" t="s">
        <v>66</v>
      </c>
      <c r="B57" s="8">
        <f>SUM(B51:B56)</f>
        <v>5</v>
      </c>
      <c r="C57" s="8">
        <f>SUM(C51:C56)</f>
        <v>10</v>
      </c>
      <c r="D57" s="8">
        <f>SUM(D51:D56)</f>
        <v>10</v>
      </c>
      <c r="E57" s="8">
        <f>SUM(E51:E56)</f>
        <v>5</v>
      </c>
      <c r="F57" s="8">
        <f>SUM(F51:F56)</f>
        <v>0</v>
      </c>
      <c r="G57" s="8"/>
      <c r="H57" s="8">
        <f>SUM(H51:H56)</f>
        <v>0</v>
      </c>
      <c r="I57" s="8">
        <f>SUM(I51:I56)</f>
        <v>0</v>
      </c>
      <c r="J57" s="8">
        <f>SUM(J51:J56)</f>
        <v>0</v>
      </c>
      <c r="K57" s="8">
        <f>SUM(K51:K56)</f>
        <v>0</v>
      </c>
      <c r="L57" s="8">
        <f>SUM(L51:L56)</f>
        <v>0</v>
      </c>
      <c r="M57" s="8"/>
      <c r="N57" s="8">
        <f>SUM(N51:N56)</f>
        <v>30</v>
      </c>
      <c r="O57" s="73"/>
      <c r="P57" s="73"/>
      <c r="Q57" s="73"/>
      <c r="R57" s="10"/>
      <c r="S57" s="10"/>
      <c r="T57" s="10"/>
      <c r="U57" s="10"/>
      <c r="V57" s="11"/>
    </row>
    <row r="58" spans="1:22" ht="32.1" customHeight="1">
      <c r="A58" s="47" t="s">
        <v>45</v>
      </c>
      <c r="B58" s="87" t="s">
        <v>46</v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50" t="s">
        <v>47</v>
      </c>
      <c r="P58" s="51"/>
      <c r="Q58" s="52"/>
      <c r="R58" s="59" t="s">
        <v>4</v>
      </c>
      <c r="S58" s="62" t="s">
        <v>48</v>
      </c>
      <c r="T58" s="62" t="s">
        <v>49</v>
      </c>
      <c r="U58" s="62" t="s">
        <v>50</v>
      </c>
      <c r="V58" s="65" t="s">
        <v>51</v>
      </c>
    </row>
    <row r="59" spans="1:22" ht="32.1" customHeight="1">
      <c r="A59" s="48"/>
      <c r="B59" s="30" t="s">
        <v>52</v>
      </c>
      <c r="C59" s="31"/>
      <c r="D59" s="31"/>
      <c r="E59" s="31"/>
      <c r="F59" s="32"/>
      <c r="G59" s="25"/>
      <c r="H59" s="33" t="s">
        <v>53</v>
      </c>
      <c r="I59" s="34"/>
      <c r="J59" s="34"/>
      <c r="K59" s="34"/>
      <c r="L59" s="35"/>
      <c r="M59" s="26"/>
      <c r="N59" s="68" t="s">
        <v>54</v>
      </c>
      <c r="O59" s="53"/>
      <c r="P59" s="54"/>
      <c r="Q59" s="55"/>
      <c r="R59" s="60"/>
      <c r="S59" s="63"/>
      <c r="T59" s="63"/>
      <c r="U59" s="63"/>
      <c r="V59" s="66"/>
    </row>
    <row r="60" spans="1:22" ht="32.1" customHeight="1">
      <c r="A60" s="49"/>
      <c r="B60" s="25" t="s">
        <v>0</v>
      </c>
      <c r="C60" s="25" t="s">
        <v>1</v>
      </c>
      <c r="D60" s="25" t="s">
        <v>2</v>
      </c>
      <c r="E60" s="25" t="s">
        <v>3</v>
      </c>
      <c r="F60" s="25" t="s">
        <v>55</v>
      </c>
      <c r="G60" s="25"/>
      <c r="H60" s="27" t="s">
        <v>1</v>
      </c>
      <c r="I60" s="27" t="s">
        <v>2</v>
      </c>
      <c r="J60" s="27" t="s">
        <v>3</v>
      </c>
      <c r="K60" s="27" t="s">
        <v>55</v>
      </c>
      <c r="L60" s="27" t="s">
        <v>56</v>
      </c>
      <c r="M60" s="27"/>
      <c r="N60" s="69"/>
      <c r="O60" s="56"/>
      <c r="P60" s="57"/>
      <c r="Q60" s="58"/>
      <c r="R60" s="61"/>
      <c r="S60" s="64"/>
      <c r="T60" s="64"/>
      <c r="U60" s="64"/>
      <c r="V60" s="67"/>
    </row>
    <row r="61" spans="1:22" ht="30" customHeight="1">
      <c r="A61" s="3" t="s">
        <v>59</v>
      </c>
      <c r="B61" s="4">
        <v>14</v>
      </c>
      <c r="C61" s="4">
        <v>22</v>
      </c>
      <c r="D61" s="4">
        <v>16</v>
      </c>
      <c r="E61" s="4">
        <v>8</v>
      </c>
      <c r="F61" s="4"/>
      <c r="G61" s="4"/>
      <c r="H61" s="4"/>
      <c r="I61" s="4"/>
      <c r="J61" s="4"/>
      <c r="K61" s="4"/>
      <c r="L61" s="4"/>
      <c r="M61" s="4"/>
      <c r="N61" s="6">
        <f>SUM(B61:M61)</f>
        <v>60</v>
      </c>
      <c r="O61" s="74" t="s">
        <v>60</v>
      </c>
      <c r="P61" s="75"/>
      <c r="Q61" s="76"/>
      <c r="R61" s="80" t="s">
        <v>26</v>
      </c>
      <c r="S61" s="80" t="s">
        <v>23</v>
      </c>
      <c r="T61" s="81" t="s">
        <v>6</v>
      </c>
      <c r="U61" s="83">
        <v>46188</v>
      </c>
      <c r="V61" s="85"/>
    </row>
    <row r="62" spans="1:22" ht="30" customHeight="1">
      <c r="A62" s="3" t="s">
        <v>8</v>
      </c>
      <c r="B62" s="4">
        <v>0</v>
      </c>
      <c r="C62" s="4">
        <v>0</v>
      </c>
      <c r="D62" s="4">
        <v>0</v>
      </c>
      <c r="E62" s="4">
        <v>0</v>
      </c>
      <c r="F62" s="4"/>
      <c r="G62" s="4"/>
      <c r="H62" s="4"/>
      <c r="I62" s="4"/>
      <c r="J62" s="4"/>
      <c r="K62" s="4"/>
      <c r="L62" s="4"/>
      <c r="M62" s="4"/>
      <c r="N62" s="6">
        <f t="shared" ref="N62:N66" si="6">SUM(B62:M62)</f>
        <v>0</v>
      </c>
      <c r="O62" s="77"/>
      <c r="P62" s="78"/>
      <c r="Q62" s="79"/>
      <c r="R62" s="60"/>
      <c r="S62" s="60"/>
      <c r="T62" s="82"/>
      <c r="U62" s="84"/>
      <c r="V62" s="86"/>
    </row>
    <row r="63" spans="1:22" ht="30" customHeight="1">
      <c r="A63" s="3" t="s">
        <v>10</v>
      </c>
      <c r="B63" s="4">
        <v>0</v>
      </c>
      <c r="C63" s="4">
        <v>0</v>
      </c>
      <c r="D63" s="4">
        <v>0</v>
      </c>
      <c r="E63" s="4">
        <v>0</v>
      </c>
      <c r="F63" s="4"/>
      <c r="G63" s="4"/>
      <c r="H63" s="4"/>
      <c r="I63" s="4"/>
      <c r="J63" s="4"/>
      <c r="K63" s="4"/>
      <c r="L63" s="4"/>
      <c r="M63" s="4"/>
      <c r="N63" s="6">
        <f t="shared" si="6"/>
        <v>0</v>
      </c>
      <c r="O63" s="77"/>
      <c r="P63" s="78"/>
      <c r="Q63" s="79"/>
      <c r="R63" s="60"/>
      <c r="S63" s="60"/>
      <c r="T63" s="82"/>
      <c r="U63" s="84"/>
      <c r="V63" s="86"/>
    </row>
    <row r="64" spans="1:22" ht="30" customHeight="1">
      <c r="A64" s="3" t="s">
        <v>25</v>
      </c>
      <c r="B64" s="4">
        <v>9</v>
      </c>
      <c r="C64" s="4">
        <v>15</v>
      </c>
      <c r="D64" s="4">
        <v>10</v>
      </c>
      <c r="E64" s="4">
        <v>6</v>
      </c>
      <c r="F64" s="4"/>
      <c r="G64" s="4"/>
      <c r="H64" s="4"/>
      <c r="I64" s="4"/>
      <c r="J64" s="4"/>
      <c r="K64" s="4"/>
      <c r="L64" s="4"/>
      <c r="M64" s="4"/>
      <c r="N64" s="6">
        <f t="shared" si="6"/>
        <v>40</v>
      </c>
      <c r="O64" s="77"/>
      <c r="P64" s="78"/>
      <c r="Q64" s="79"/>
      <c r="R64" s="60"/>
      <c r="S64" s="60"/>
      <c r="T64" s="82"/>
      <c r="U64" s="84"/>
      <c r="V64" s="86"/>
    </row>
    <row r="65" spans="1:22" ht="30" customHeight="1">
      <c r="A65" s="3" t="s">
        <v>13</v>
      </c>
      <c r="B65" s="4">
        <v>0</v>
      </c>
      <c r="C65" s="4">
        <v>0</v>
      </c>
      <c r="D65" s="4">
        <v>0</v>
      </c>
      <c r="E65" s="4">
        <v>0</v>
      </c>
      <c r="F65" s="4"/>
      <c r="G65" s="4"/>
      <c r="H65" s="4"/>
      <c r="I65" s="4"/>
      <c r="J65" s="4"/>
      <c r="K65" s="4"/>
      <c r="L65" s="4"/>
      <c r="M65" s="4"/>
      <c r="N65" s="6">
        <f t="shared" si="6"/>
        <v>0</v>
      </c>
      <c r="O65" s="77"/>
      <c r="P65" s="78"/>
      <c r="Q65" s="79"/>
      <c r="R65" s="60"/>
      <c r="S65" s="60"/>
      <c r="T65" s="82"/>
      <c r="U65" s="84"/>
      <c r="V65" s="86"/>
    </row>
    <row r="66" spans="1:22" ht="30" customHeight="1">
      <c r="A66" s="3" t="s">
        <v>16</v>
      </c>
      <c r="B66" s="4">
        <v>14</v>
      </c>
      <c r="C66" s="4">
        <v>22</v>
      </c>
      <c r="D66" s="4">
        <v>16</v>
      </c>
      <c r="E66" s="4">
        <v>8</v>
      </c>
      <c r="F66" s="4"/>
      <c r="G66" s="4"/>
      <c r="H66" s="4"/>
      <c r="I66" s="4"/>
      <c r="J66" s="4"/>
      <c r="K66" s="4"/>
      <c r="L66" s="4"/>
      <c r="M66" s="4"/>
      <c r="N66" s="6">
        <f t="shared" si="6"/>
        <v>60</v>
      </c>
      <c r="O66" s="77"/>
      <c r="P66" s="78"/>
      <c r="Q66" s="79"/>
      <c r="R66" s="60"/>
      <c r="S66" s="60"/>
      <c r="T66" s="82"/>
      <c r="U66" s="84"/>
      <c r="V66" s="86"/>
    </row>
    <row r="67" spans="1:22" ht="32.1" customHeight="1" thickBot="1">
      <c r="A67" s="9" t="s">
        <v>66</v>
      </c>
      <c r="B67" s="8">
        <f>SUM(B61:B66)</f>
        <v>37</v>
      </c>
      <c r="C67" s="8">
        <f>SUM(C61:C66)</f>
        <v>59</v>
      </c>
      <c r="D67" s="8">
        <f>SUM(D61:D66)</f>
        <v>42</v>
      </c>
      <c r="E67" s="8">
        <f>SUM(E61:E66)</f>
        <v>22</v>
      </c>
      <c r="F67" s="8">
        <f>SUM(F61:F66)</f>
        <v>0</v>
      </c>
      <c r="G67" s="8"/>
      <c r="H67" s="8">
        <f>SUM(H61:H66)</f>
        <v>0</v>
      </c>
      <c r="I67" s="8">
        <f>SUM(I61:I66)</f>
        <v>0</v>
      </c>
      <c r="J67" s="8">
        <f>SUM(J61:J66)</f>
        <v>0</v>
      </c>
      <c r="K67" s="8">
        <f>SUM(K61:K66)</f>
        <v>0</v>
      </c>
      <c r="L67" s="8">
        <f>SUM(L61:L66)</f>
        <v>0</v>
      </c>
      <c r="M67" s="8"/>
      <c r="N67" s="8">
        <f>SUM(N61:N66)</f>
        <v>160</v>
      </c>
      <c r="O67" s="73"/>
      <c r="P67" s="73"/>
      <c r="Q67" s="73"/>
      <c r="R67" s="10"/>
      <c r="S67" s="10"/>
      <c r="T67" s="10"/>
      <c r="U67" s="10"/>
      <c r="V67" s="11"/>
    </row>
    <row r="68" spans="1:22" ht="27" customHeight="1" thickBot="1">
      <c r="A68" s="70" t="s">
        <v>64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2"/>
    </row>
    <row r="69" spans="1:22" ht="22.5" customHeight="1">
      <c r="A69" s="28" t="s">
        <v>62</v>
      </c>
      <c r="B69" s="30" t="s">
        <v>52</v>
      </c>
      <c r="C69" s="31"/>
      <c r="D69" s="31"/>
      <c r="E69" s="31"/>
      <c r="F69" s="32"/>
      <c r="G69" s="25"/>
      <c r="H69" s="33" t="s">
        <v>53</v>
      </c>
      <c r="I69" s="34"/>
      <c r="J69" s="34"/>
      <c r="K69" s="34"/>
      <c r="L69" s="35"/>
      <c r="M69" s="26"/>
      <c r="N69" s="4"/>
      <c r="O69" s="4"/>
      <c r="P69" s="22"/>
      <c r="Q69" s="36" t="s">
        <v>63</v>
      </c>
      <c r="R69" s="38" t="s">
        <v>5</v>
      </c>
      <c r="S69" s="39"/>
      <c r="T69" s="39"/>
      <c r="U69" s="39"/>
      <c r="V69" s="40"/>
    </row>
    <row r="70" spans="1:22" ht="22.5" customHeight="1">
      <c r="A70" s="29"/>
      <c r="B70" s="25" t="s">
        <v>0</v>
      </c>
      <c r="C70" s="25" t="s">
        <v>1</v>
      </c>
      <c r="D70" s="25" t="s">
        <v>2</v>
      </c>
      <c r="E70" s="25" t="s">
        <v>3</v>
      </c>
      <c r="F70" s="25" t="s">
        <v>55</v>
      </c>
      <c r="G70" s="25"/>
      <c r="H70" s="27" t="s">
        <v>1</v>
      </c>
      <c r="I70" s="27" t="s">
        <v>2</v>
      </c>
      <c r="J70" s="27" t="s">
        <v>3</v>
      </c>
      <c r="K70" s="27" t="s">
        <v>55</v>
      </c>
      <c r="L70" s="27" t="s">
        <v>56</v>
      </c>
      <c r="M70" s="27"/>
      <c r="N70" s="4"/>
      <c r="O70" s="4"/>
      <c r="P70" s="4"/>
      <c r="Q70" s="37"/>
      <c r="R70" s="41"/>
      <c r="S70" s="42"/>
      <c r="T70" s="42"/>
      <c r="U70" s="42"/>
      <c r="V70" s="43"/>
    </row>
    <row r="71" spans="1:22" ht="34.200000000000003" customHeight="1">
      <c r="A71" s="3" t="s">
        <v>65</v>
      </c>
      <c r="B71" s="12">
        <f t="shared" ref="B71:F76" si="7">B11+B21+B31+B41+B51+B61</f>
        <v>152</v>
      </c>
      <c r="C71" s="12">
        <f t="shared" si="7"/>
        <v>314</v>
      </c>
      <c r="D71" s="12">
        <f t="shared" si="7"/>
        <v>349</v>
      </c>
      <c r="E71" s="12">
        <f t="shared" si="7"/>
        <v>197</v>
      </c>
      <c r="F71" s="12">
        <f t="shared" si="7"/>
        <v>58</v>
      </c>
      <c r="G71" s="12"/>
      <c r="H71" s="12">
        <f t="shared" ref="H71:M76" si="8">H11+H21</f>
        <v>15</v>
      </c>
      <c r="I71" s="12">
        <f t="shared" si="8"/>
        <v>49</v>
      </c>
      <c r="J71" s="12">
        <f t="shared" si="8"/>
        <v>39</v>
      </c>
      <c r="K71" s="12">
        <f t="shared" si="8"/>
        <v>18</v>
      </c>
      <c r="L71" s="12">
        <f t="shared" si="8"/>
        <v>14</v>
      </c>
      <c r="M71" s="12">
        <f t="shared" si="8"/>
        <v>0</v>
      </c>
      <c r="N71" s="13"/>
      <c r="O71" s="13"/>
      <c r="P71" s="13"/>
      <c r="Q71" s="18">
        <f>SUM(B71:P71)</f>
        <v>1205</v>
      </c>
      <c r="R71" s="41"/>
      <c r="S71" s="42"/>
      <c r="T71" s="42"/>
      <c r="U71" s="42"/>
      <c r="V71" s="43"/>
    </row>
    <row r="72" spans="1:22" ht="34.200000000000003" customHeight="1">
      <c r="A72" s="3" t="s">
        <v>8</v>
      </c>
      <c r="B72" s="12">
        <f t="shared" si="7"/>
        <v>109</v>
      </c>
      <c r="C72" s="12">
        <f t="shared" si="7"/>
        <v>256</v>
      </c>
      <c r="D72" s="12">
        <f t="shared" si="7"/>
        <v>306</v>
      </c>
      <c r="E72" s="12">
        <f t="shared" si="7"/>
        <v>172</v>
      </c>
      <c r="F72" s="12">
        <f t="shared" si="7"/>
        <v>60</v>
      </c>
      <c r="G72" s="12"/>
      <c r="H72" s="12">
        <f t="shared" si="8"/>
        <v>15</v>
      </c>
      <c r="I72" s="12">
        <f t="shared" si="8"/>
        <v>49</v>
      </c>
      <c r="J72" s="12">
        <f t="shared" si="8"/>
        <v>39</v>
      </c>
      <c r="K72" s="12">
        <f t="shared" si="8"/>
        <v>18</v>
      </c>
      <c r="L72" s="12">
        <f t="shared" si="8"/>
        <v>14</v>
      </c>
      <c r="M72" s="12">
        <f t="shared" si="8"/>
        <v>0</v>
      </c>
      <c r="N72" s="14"/>
      <c r="O72" s="14"/>
      <c r="P72" s="14"/>
      <c r="Q72" s="18">
        <f t="shared" ref="Q72:Q77" si="9">SUM(B72:P72)</f>
        <v>1038</v>
      </c>
      <c r="R72" s="41"/>
      <c r="S72" s="42"/>
      <c r="T72" s="42"/>
      <c r="U72" s="42"/>
      <c r="V72" s="43"/>
    </row>
    <row r="73" spans="1:22" ht="34.200000000000003" customHeight="1">
      <c r="A73" s="3" t="s">
        <v>10</v>
      </c>
      <c r="B73" s="12">
        <f t="shared" si="7"/>
        <v>102</v>
      </c>
      <c r="C73" s="12">
        <f t="shared" si="7"/>
        <v>178</v>
      </c>
      <c r="D73" s="12">
        <f t="shared" si="7"/>
        <v>200</v>
      </c>
      <c r="E73" s="12">
        <f t="shared" si="7"/>
        <v>110</v>
      </c>
      <c r="F73" s="12">
        <f t="shared" si="7"/>
        <v>30</v>
      </c>
      <c r="G73" s="12"/>
      <c r="H73" s="12">
        <f t="shared" si="8"/>
        <v>6</v>
      </c>
      <c r="I73" s="12">
        <f t="shared" si="8"/>
        <v>20</v>
      </c>
      <c r="J73" s="12">
        <f t="shared" si="8"/>
        <v>16</v>
      </c>
      <c r="K73" s="12">
        <f t="shared" si="8"/>
        <v>7</v>
      </c>
      <c r="L73" s="12">
        <f t="shared" si="8"/>
        <v>6</v>
      </c>
      <c r="M73" s="12">
        <f t="shared" si="8"/>
        <v>0</v>
      </c>
      <c r="N73" s="21"/>
      <c r="O73" s="21"/>
      <c r="P73" s="14"/>
      <c r="Q73" s="18">
        <f>SUM(B73:P73)</f>
        <v>675</v>
      </c>
      <c r="R73" s="41"/>
      <c r="S73" s="42"/>
      <c r="T73" s="42"/>
      <c r="U73" s="42"/>
      <c r="V73" s="43"/>
    </row>
    <row r="74" spans="1:22" ht="34.200000000000003" customHeight="1">
      <c r="A74" s="3" t="s">
        <v>12</v>
      </c>
      <c r="B74" s="12">
        <f t="shared" si="7"/>
        <v>84</v>
      </c>
      <c r="C74" s="12">
        <f t="shared" si="7"/>
        <v>146</v>
      </c>
      <c r="D74" s="12">
        <f t="shared" si="7"/>
        <v>170</v>
      </c>
      <c r="E74" s="12">
        <f t="shared" si="7"/>
        <v>89</v>
      </c>
      <c r="F74" s="12">
        <f t="shared" si="7"/>
        <v>30</v>
      </c>
      <c r="G74" s="12"/>
      <c r="H74" s="12">
        <f t="shared" si="8"/>
        <v>6</v>
      </c>
      <c r="I74" s="12">
        <f t="shared" si="8"/>
        <v>20</v>
      </c>
      <c r="J74" s="12">
        <f t="shared" si="8"/>
        <v>16</v>
      </c>
      <c r="K74" s="12">
        <f t="shared" si="8"/>
        <v>7</v>
      </c>
      <c r="L74" s="12">
        <f t="shared" si="8"/>
        <v>6</v>
      </c>
      <c r="M74" s="12">
        <f t="shared" si="8"/>
        <v>0</v>
      </c>
      <c r="N74" s="21"/>
      <c r="O74" s="21"/>
      <c r="P74" s="14"/>
      <c r="Q74" s="18">
        <f t="shared" ref="Q74:Q75" si="10">SUM(B74:P74)</f>
        <v>574</v>
      </c>
      <c r="R74" s="41"/>
      <c r="S74" s="42"/>
      <c r="T74" s="42"/>
      <c r="U74" s="42"/>
      <c r="V74" s="43"/>
    </row>
    <row r="75" spans="1:22" ht="34.200000000000003" customHeight="1">
      <c r="A75" s="3" t="s">
        <v>13</v>
      </c>
      <c r="B75" s="12">
        <f t="shared" si="7"/>
        <v>93</v>
      </c>
      <c r="C75" s="12">
        <f t="shared" si="7"/>
        <v>180</v>
      </c>
      <c r="D75" s="12">
        <f t="shared" si="7"/>
        <v>202</v>
      </c>
      <c r="E75" s="12">
        <f t="shared" si="7"/>
        <v>104</v>
      </c>
      <c r="F75" s="12">
        <f t="shared" si="7"/>
        <v>30</v>
      </c>
      <c r="G75" s="12"/>
      <c r="H75" s="12">
        <f t="shared" si="8"/>
        <v>9</v>
      </c>
      <c r="I75" s="12">
        <f t="shared" si="8"/>
        <v>30</v>
      </c>
      <c r="J75" s="12">
        <f t="shared" si="8"/>
        <v>24</v>
      </c>
      <c r="K75" s="12">
        <f t="shared" si="8"/>
        <v>11</v>
      </c>
      <c r="L75" s="12">
        <f t="shared" si="8"/>
        <v>8</v>
      </c>
      <c r="M75" s="12">
        <f t="shared" si="8"/>
        <v>0</v>
      </c>
      <c r="N75" s="21"/>
      <c r="O75" s="21"/>
      <c r="P75" s="14"/>
      <c r="Q75" s="18">
        <f t="shared" si="10"/>
        <v>691</v>
      </c>
      <c r="R75" s="41"/>
      <c r="S75" s="42"/>
      <c r="T75" s="42"/>
      <c r="U75" s="42"/>
      <c r="V75" s="43"/>
    </row>
    <row r="76" spans="1:22" ht="34.200000000000003" customHeight="1">
      <c r="A76" s="3" t="s">
        <v>14</v>
      </c>
      <c r="B76" s="12">
        <f t="shared" si="7"/>
        <v>107</v>
      </c>
      <c r="C76" s="12">
        <f t="shared" si="7"/>
        <v>207</v>
      </c>
      <c r="D76" s="12">
        <f t="shared" si="7"/>
        <v>228</v>
      </c>
      <c r="E76" s="12">
        <f t="shared" si="7"/>
        <v>117</v>
      </c>
      <c r="F76" s="12">
        <f t="shared" si="7"/>
        <v>30</v>
      </c>
      <c r="G76" s="12"/>
      <c r="H76" s="12">
        <f t="shared" si="8"/>
        <v>9</v>
      </c>
      <c r="I76" s="12">
        <f t="shared" si="8"/>
        <v>30</v>
      </c>
      <c r="J76" s="12">
        <f t="shared" si="8"/>
        <v>24</v>
      </c>
      <c r="K76" s="12">
        <f t="shared" si="8"/>
        <v>11</v>
      </c>
      <c r="L76" s="12">
        <f t="shared" si="8"/>
        <v>8</v>
      </c>
      <c r="M76" s="12">
        <f t="shared" si="8"/>
        <v>0</v>
      </c>
      <c r="N76" s="12"/>
      <c r="O76" s="12"/>
      <c r="P76" s="12"/>
      <c r="Q76" s="18">
        <f t="shared" si="9"/>
        <v>771</v>
      </c>
      <c r="R76" s="41"/>
      <c r="S76" s="42"/>
      <c r="T76" s="42"/>
      <c r="U76" s="42"/>
      <c r="V76" s="43"/>
    </row>
    <row r="77" spans="1:22" ht="34.200000000000003" customHeight="1">
      <c r="A77" s="2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8">
        <f t="shared" si="9"/>
        <v>0</v>
      </c>
      <c r="R77" s="41"/>
      <c r="S77" s="42"/>
      <c r="T77" s="42"/>
      <c r="U77" s="42"/>
      <c r="V77" s="43"/>
    </row>
    <row r="78" spans="1:22" ht="22.5" customHeight="1" thickBot="1">
      <c r="A78" s="15" t="s">
        <v>67</v>
      </c>
      <c r="B78" s="16">
        <f>SUM(B71:B77)</f>
        <v>647</v>
      </c>
      <c r="C78" s="16">
        <f>SUM(C71:C76)</f>
        <v>1281</v>
      </c>
      <c r="D78" s="16">
        <f>SUM(D71:D76)</f>
        <v>1455</v>
      </c>
      <c r="E78" s="16">
        <f>SUM(E71:E76)</f>
        <v>789</v>
      </c>
      <c r="F78" s="16">
        <f>SUM(F71:F76)</f>
        <v>238</v>
      </c>
      <c r="G78" s="16"/>
      <c r="H78" s="16">
        <f t="shared" ref="H78:M78" si="11">SUM(H71:H76)</f>
        <v>60</v>
      </c>
      <c r="I78" s="16">
        <f t="shared" si="11"/>
        <v>198</v>
      </c>
      <c r="J78" s="16">
        <f t="shared" si="11"/>
        <v>158</v>
      </c>
      <c r="K78" s="16">
        <f t="shared" si="11"/>
        <v>72</v>
      </c>
      <c r="L78" s="16">
        <f t="shared" si="11"/>
        <v>56</v>
      </c>
      <c r="M78" s="16">
        <f t="shared" si="11"/>
        <v>0</v>
      </c>
      <c r="N78" s="17"/>
      <c r="O78" s="19"/>
      <c r="P78" s="19"/>
      <c r="Q78" s="20">
        <f>SUM(B71:P77)</f>
        <v>4954</v>
      </c>
      <c r="R78" s="44"/>
      <c r="S78" s="45"/>
      <c r="T78" s="45"/>
      <c r="U78" s="45"/>
      <c r="V78" s="46"/>
    </row>
  </sheetData>
  <mergeCells count="136">
    <mergeCell ref="A7:V7"/>
    <mergeCell ref="O8:Q10"/>
    <mergeCell ref="R8:R10"/>
    <mergeCell ref="S8:S10"/>
    <mergeCell ref="T8:T10"/>
    <mergeCell ref="U8:U10"/>
    <mergeCell ref="V8:V10"/>
    <mergeCell ref="N9:N10"/>
    <mergeCell ref="O18:Q20"/>
    <mergeCell ref="R18:R20"/>
    <mergeCell ref="S18:S20"/>
    <mergeCell ref="T18:T20"/>
    <mergeCell ref="U18:U20"/>
    <mergeCell ref="V18:V20"/>
    <mergeCell ref="N19:N20"/>
    <mergeCell ref="T11:T16"/>
    <mergeCell ref="U11:U16"/>
    <mergeCell ref="V11:V16"/>
    <mergeCell ref="A8:A10"/>
    <mergeCell ref="B8:N8"/>
    <mergeCell ref="B9:F9"/>
    <mergeCell ref="H9:L9"/>
    <mergeCell ref="O17:Q17"/>
    <mergeCell ref="A18:A20"/>
    <mergeCell ref="A1:V2"/>
    <mergeCell ref="A3:B3"/>
    <mergeCell ref="C3:F3"/>
    <mergeCell ref="G3:H3"/>
    <mergeCell ref="I3:L3"/>
    <mergeCell ref="M3:O3"/>
    <mergeCell ref="P3:V3"/>
    <mergeCell ref="A4:B4"/>
    <mergeCell ref="C4:F4"/>
    <mergeCell ref="G4:H4"/>
    <mergeCell ref="I4:L4"/>
    <mergeCell ref="M4:O6"/>
    <mergeCell ref="P4:V6"/>
    <mergeCell ref="A5:B5"/>
    <mergeCell ref="C5:F5"/>
    <mergeCell ref="G5:H5"/>
    <mergeCell ref="I5:L5"/>
    <mergeCell ref="A6:B6"/>
    <mergeCell ref="C6:F6"/>
    <mergeCell ref="G6:H6"/>
    <mergeCell ref="I6:L6"/>
    <mergeCell ref="A28:A30"/>
    <mergeCell ref="B28:N28"/>
    <mergeCell ref="B29:F29"/>
    <mergeCell ref="H29:L29"/>
    <mergeCell ref="B19:F19"/>
    <mergeCell ref="H19:L19"/>
    <mergeCell ref="O21:Q26"/>
    <mergeCell ref="R21:R26"/>
    <mergeCell ref="S21:S26"/>
    <mergeCell ref="O31:Q36"/>
    <mergeCell ref="R31:R36"/>
    <mergeCell ref="S31:S36"/>
    <mergeCell ref="T31:T36"/>
    <mergeCell ref="U31:U36"/>
    <mergeCell ref="B18:N18"/>
    <mergeCell ref="O11:Q16"/>
    <mergeCell ref="R11:R16"/>
    <mergeCell ref="S11:S16"/>
    <mergeCell ref="V21:V26"/>
    <mergeCell ref="O27:Q27"/>
    <mergeCell ref="V28:V30"/>
    <mergeCell ref="V31:V36"/>
    <mergeCell ref="O37:Q37"/>
    <mergeCell ref="A38:A40"/>
    <mergeCell ref="B38:N38"/>
    <mergeCell ref="B39:F39"/>
    <mergeCell ref="H39:L39"/>
    <mergeCell ref="O38:Q40"/>
    <mergeCell ref="R38:R40"/>
    <mergeCell ref="S38:S40"/>
    <mergeCell ref="T38:T40"/>
    <mergeCell ref="U38:U40"/>
    <mergeCell ref="V38:V40"/>
    <mergeCell ref="N39:N40"/>
    <mergeCell ref="T21:T26"/>
    <mergeCell ref="U21:U26"/>
    <mergeCell ref="O28:Q30"/>
    <mergeCell ref="R28:R30"/>
    <mergeCell ref="S28:S30"/>
    <mergeCell ref="T28:T30"/>
    <mergeCell ref="U28:U30"/>
    <mergeCell ref="N29:N30"/>
    <mergeCell ref="O57:Q57"/>
    <mergeCell ref="A48:A50"/>
    <mergeCell ref="B48:N48"/>
    <mergeCell ref="B49:F49"/>
    <mergeCell ref="H49:L49"/>
    <mergeCell ref="O41:Q46"/>
    <mergeCell ref="R41:R46"/>
    <mergeCell ref="S41:S46"/>
    <mergeCell ref="T41:T46"/>
    <mergeCell ref="O48:Q50"/>
    <mergeCell ref="R48:R50"/>
    <mergeCell ref="S48:S50"/>
    <mergeCell ref="T48:T50"/>
    <mergeCell ref="N49:N50"/>
    <mergeCell ref="O51:Q56"/>
    <mergeCell ref="R51:R56"/>
    <mergeCell ref="S51:S56"/>
    <mergeCell ref="T51:T56"/>
    <mergeCell ref="U51:U56"/>
    <mergeCell ref="V41:V46"/>
    <mergeCell ref="O47:Q47"/>
    <mergeCell ref="V48:V50"/>
    <mergeCell ref="V51:V56"/>
    <mergeCell ref="U41:U46"/>
    <mergeCell ref="U48:U50"/>
    <mergeCell ref="A69:A70"/>
    <mergeCell ref="B69:F69"/>
    <mergeCell ref="H69:L69"/>
    <mergeCell ref="Q69:Q70"/>
    <mergeCell ref="R69:V78"/>
    <mergeCell ref="A58:A60"/>
    <mergeCell ref="O58:Q60"/>
    <mergeCell ref="R58:R60"/>
    <mergeCell ref="S58:S60"/>
    <mergeCell ref="T58:T60"/>
    <mergeCell ref="U58:U60"/>
    <mergeCell ref="V58:V60"/>
    <mergeCell ref="N59:N60"/>
    <mergeCell ref="A68:V68"/>
    <mergeCell ref="O67:Q67"/>
    <mergeCell ref="O61:Q66"/>
    <mergeCell ref="R61:R66"/>
    <mergeCell ref="S61:S66"/>
    <mergeCell ref="T61:T66"/>
    <mergeCell ref="U61:U66"/>
    <mergeCell ref="V61:V66"/>
    <mergeCell ref="B58:N58"/>
    <mergeCell ref="B59:F59"/>
    <mergeCell ref="H59:L59"/>
  </mergeCells>
  <phoneticPr fontId="31" type="noConversion"/>
  <pageMargins left="0.39370078740157499" right="0.196850393700787" top="0.59055118110236204" bottom="1.04" header="0.39370078740157499" footer="0.70866141732283505"/>
  <pageSetup paperSize="9" scale="21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Tien Nguyen</cp:lastModifiedBy>
  <cp:revision>1</cp:revision>
  <cp:lastPrinted>2026-01-15T05:55:27Z</cp:lastPrinted>
  <dcterms:created xsi:type="dcterms:W3CDTF">2015-09-02T03:31:00Z</dcterms:created>
  <dcterms:modified xsi:type="dcterms:W3CDTF">2026-05-29T00:48:50Z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9878D1CD5F614E8FAEC01A3567C89653_12</vt:lpwstr>
  </property>
</Properties>
</file>